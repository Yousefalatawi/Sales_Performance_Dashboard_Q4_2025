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jo\Desktop\Excel\"/>
    </mc:Choice>
  </mc:AlternateContent>
  <xr:revisionPtr revIDLastSave="0" documentId="13_ncr:1_{E0710787-6E36-4B93-B165-BC359EDEA9F3}" xr6:coauthVersionLast="47" xr6:coauthVersionMax="47" xr10:uidLastSave="{00000000-0000-0000-0000-000000000000}"/>
  <bookViews>
    <workbookView xWindow="-120" yWindow="-120" windowWidth="29040" windowHeight="15840" activeTab="5" xr2:uid="{8A8569A6-6E70-4B67-8136-B16AF46BB93D}"/>
  </bookViews>
  <sheets>
    <sheet name="Customers" sheetId="36" r:id="rId1"/>
    <sheet name="Products" sheetId="8" r:id="rId2"/>
    <sheet name="Orders" sheetId="13" r:id="rId3"/>
    <sheet name="Key_Metrics" sheetId="50" r:id="rId4"/>
    <sheet name="Calculations" sheetId="45" r:id="rId5"/>
    <sheet name="Dashboard" sheetId="48" r:id="rId6"/>
  </sheets>
  <definedNames>
    <definedName name="_xlcn.WorksheetConnection_OrdersAG1" hidden="1">Orders!$A:$G</definedName>
    <definedName name="_xlcn.WorksheetConnection_ProductsAE1" hidden="1">Products!$A:$E</definedName>
    <definedName name="_xlcn.WorksheetConnection_مشروعي4.xlsxCustomers_11" hidden="1">Customers_1[]</definedName>
    <definedName name="_xlcn.WorksheetConnection_مشروعي4.xlsxPROUDCTS1" hidden="1">PROUDCTS[]</definedName>
    <definedName name="_xlcn.WorksheetConnection_مشروعي4.xlsxTable31" hidden="1">Table3[]</definedName>
    <definedName name="Customer">#REF!</definedName>
    <definedName name="Customers">#REF!</definedName>
    <definedName name="Product">Orders!$I:$I</definedName>
    <definedName name="Slicer_Brand">#N/A</definedName>
    <definedName name="Slicer_Category">#N/A</definedName>
    <definedName name="Slicer_City">#N/A</definedName>
    <definedName name="Slicer_Order_Date__Month">#N/A</definedName>
  </definedNames>
  <calcPr calcId="191029"/>
  <pivotCaches>
    <pivotCache cacheId="54" r:id="rId7"/>
    <pivotCache cacheId="55" r:id="rId8"/>
    <pivotCache cacheId="56" r:id="rId9"/>
    <pivotCache cacheId="57" r:id="rId10"/>
    <pivotCache cacheId="58" r:id="rId11"/>
    <pivotCache cacheId="59" r:id="rId12"/>
    <pivotCache cacheId="60" r:id="rId13"/>
    <pivotCache cacheId="61" r:id="rId14"/>
  </pivotCaches>
  <extLst>
    <ext xmlns:x14="http://schemas.microsoft.com/office/spreadsheetml/2009/9/main" uri="{876F7934-8845-4945-9796-88D515C7AA90}">
      <x14:pivotCaches>
        <pivotCache cacheId="45"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مشروعي4.xlsx!Table3"/>
          <x15:modelTable id="PROUDCTS" name="PROUDCTS" connection="WorksheetConnection_مشروعي4.xlsx!PROUDCTS"/>
          <x15:modelTable id="Customers_1" name="Customers_1" connection="WorksheetConnection_مشروعي4.xlsx!Customers_1"/>
          <x15:modelTable id="Range 1" name="Range 1" connection="WorksheetConnection_Products!$A:$E"/>
          <x15:modelTable id="Range" name="Range" connection="WorksheetConnection_Orders!$A:$G"/>
        </x15:modelTables>
        <x15:modelRelationships>
          <x15:modelRelationship fromTable="Table3" fromColumn="Product_ID" toTable="PROUDCTS" toColumn="Prodct_ID"/>
          <x15:modelRelationship fromTable="Table3" fromColumn="Customer_ID" toTable="Customers_1" toColumn="Customer_ID"/>
        </x15:modelRelationships>
        <x15:extLst>
          <ext xmlns:x16="http://schemas.microsoft.com/office/spreadsheetml/2014/11/main" uri="{9835A34E-60A6-4A7C-AAB8-D5F71C897F49}">
            <x16:modelTimeGroupings>
              <x16:modelTimeGrouping tableName="Table3"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50" l="1"/>
  <c r="S12" i="45"/>
  <c r="B13" i="50"/>
  <c r="B12" i="50"/>
  <c r="B11" i="50"/>
  <c r="B10" i="50"/>
  <c r="B8" i="50"/>
  <c r="G7" i="36"/>
  <c r="B7" i="50"/>
  <c r="F347" i="13"/>
  <c r="G347" i="13" s="1"/>
  <c r="H347" i="13"/>
  <c r="I347" i="13"/>
  <c r="F346" i="13"/>
  <c r="G346" i="13" s="1"/>
  <c r="H346" i="13"/>
  <c r="I346" i="13"/>
  <c r="F345" i="13"/>
  <c r="G345" i="13" s="1"/>
  <c r="H345" i="13"/>
  <c r="I345" i="13"/>
  <c r="I18" i="13"/>
  <c r="I2" i="13"/>
  <c r="I3" i="13"/>
  <c r="I4" i="13"/>
  <c r="I5" i="13"/>
  <c r="I6" i="13"/>
  <c r="I7" i="13"/>
  <c r="I8" i="13"/>
  <c r="I9" i="13"/>
  <c r="I10" i="13"/>
  <c r="I11" i="13"/>
  <c r="I12" i="13"/>
  <c r="I13" i="13"/>
  <c r="I14" i="13"/>
  <c r="I15" i="13"/>
  <c r="I16" i="13"/>
  <c r="I17"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H2"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T8" i="45"/>
  <c r="F342" i="13"/>
  <c r="G342" i="13" s="1"/>
  <c r="F344" i="13"/>
  <c r="F343" i="13"/>
  <c r="G343" i="13" s="1"/>
  <c r="F337" i="13"/>
  <c r="G337" i="13" s="1"/>
  <c r="F338" i="13"/>
  <c r="G338" i="13" s="1"/>
  <c r="F339" i="13"/>
  <c r="G339" i="13" s="1"/>
  <c r="F340" i="13"/>
  <c r="G340" i="13" s="1"/>
  <c r="F341" i="13"/>
  <c r="G341" i="13" s="1"/>
  <c r="F336" i="13"/>
  <c r="G336" i="13" s="1"/>
  <c r="F335" i="13"/>
  <c r="G335" i="13" s="1"/>
  <c r="F334" i="13"/>
  <c r="G334" i="13" s="1"/>
  <c r="F313" i="13"/>
  <c r="G313" i="13" s="1"/>
  <c r="F314" i="13"/>
  <c r="G314" i="13" s="1"/>
  <c r="F315" i="13"/>
  <c r="G315" i="13" s="1"/>
  <c r="F316" i="13"/>
  <c r="G316" i="13" s="1"/>
  <c r="F317" i="13"/>
  <c r="G317" i="13" s="1"/>
  <c r="F318" i="13"/>
  <c r="G318" i="13" s="1"/>
  <c r="F319" i="13"/>
  <c r="G319" i="13" s="1"/>
  <c r="F320" i="13"/>
  <c r="G320" i="13" s="1"/>
  <c r="F321" i="13"/>
  <c r="G321" i="13" s="1"/>
  <c r="F322" i="13"/>
  <c r="G322" i="13" s="1"/>
  <c r="F323" i="13"/>
  <c r="G323" i="13" s="1"/>
  <c r="F324" i="13"/>
  <c r="G324" i="13" s="1"/>
  <c r="F325" i="13"/>
  <c r="G325" i="13" s="1"/>
  <c r="F326" i="13"/>
  <c r="G326" i="13" s="1"/>
  <c r="F327" i="13"/>
  <c r="G327" i="13" s="1"/>
  <c r="F328" i="13"/>
  <c r="G328" i="13" s="1"/>
  <c r="F329" i="13"/>
  <c r="G329" i="13" s="1"/>
  <c r="F330" i="13"/>
  <c r="G330" i="13" s="1"/>
  <c r="F331" i="13"/>
  <c r="G331" i="13" s="1"/>
  <c r="F332" i="13"/>
  <c r="G332" i="13" s="1"/>
  <c r="F333" i="13"/>
  <c r="G333" i="13" s="1"/>
  <c r="E148" i="36"/>
  <c r="E151" i="36"/>
  <c r="E2" i="36"/>
  <c r="E3" i="36"/>
  <c r="E4" i="36"/>
  <c r="E5" i="36"/>
  <c r="E6" i="36"/>
  <c r="E7" i="36"/>
  <c r="E8" i="36"/>
  <c r="E9" i="36"/>
  <c r="E10" i="36"/>
  <c r="E11" i="36"/>
  <c r="E12" i="36"/>
  <c r="E13" i="36"/>
  <c r="E14" i="36"/>
  <c r="E15" i="36"/>
  <c r="E16" i="36"/>
  <c r="E17" i="36"/>
  <c r="E18" i="36"/>
  <c r="E19" i="36"/>
  <c r="E20" i="36"/>
  <c r="E21" i="36"/>
  <c r="E22" i="36"/>
  <c r="E23" i="36"/>
  <c r="E24" i="36"/>
  <c r="E25" i="36"/>
  <c r="E26" i="36"/>
  <c r="E27" i="36"/>
  <c r="E28" i="36"/>
  <c r="E29" i="36"/>
  <c r="E30" i="36"/>
  <c r="E31" i="36"/>
  <c r="E32" i="36"/>
  <c r="E33" i="36"/>
  <c r="E34" i="36"/>
  <c r="E35" i="36"/>
  <c r="E36" i="36"/>
  <c r="E37" i="36"/>
  <c r="E38" i="36"/>
  <c r="E39" i="36"/>
  <c r="E40" i="36"/>
  <c r="E41" i="36"/>
  <c r="E42" i="36"/>
  <c r="E43" i="36"/>
  <c r="E44" i="36"/>
  <c r="E45" i="36"/>
  <c r="E46" i="36"/>
  <c r="E47" i="36"/>
  <c r="E48" i="36"/>
  <c r="E49" i="36"/>
  <c r="E50" i="36"/>
  <c r="E51" i="36"/>
  <c r="E52" i="36"/>
  <c r="E53" i="36"/>
  <c r="E54" i="36"/>
  <c r="E55" i="36"/>
  <c r="E56" i="36"/>
  <c r="E57" i="36"/>
  <c r="E58" i="36"/>
  <c r="E59" i="36"/>
  <c r="E60" i="36"/>
  <c r="E61" i="36"/>
  <c r="E62" i="36"/>
  <c r="E63" i="36"/>
  <c r="E64" i="36"/>
  <c r="E65" i="36"/>
  <c r="E66" i="36"/>
  <c r="E67" i="36"/>
  <c r="E68" i="36"/>
  <c r="E69" i="36"/>
  <c r="E70" i="36"/>
  <c r="E71" i="36"/>
  <c r="E72" i="36"/>
  <c r="E73" i="36"/>
  <c r="E74" i="36"/>
  <c r="E75" i="36"/>
  <c r="E76" i="36"/>
  <c r="E77" i="36"/>
  <c r="E78" i="36"/>
  <c r="E79" i="36"/>
  <c r="E80" i="36"/>
  <c r="E81" i="36"/>
  <c r="E82" i="36"/>
  <c r="E83" i="36"/>
  <c r="E84" i="36"/>
  <c r="E85" i="36"/>
  <c r="E86" i="36"/>
  <c r="E87" i="36"/>
  <c r="E88" i="36"/>
  <c r="E89" i="36"/>
  <c r="E90" i="36"/>
  <c r="E91" i="36"/>
  <c r="E92" i="36"/>
  <c r="E93" i="36"/>
  <c r="E94" i="36"/>
  <c r="E95" i="36"/>
  <c r="E96" i="36"/>
  <c r="E97" i="36"/>
  <c r="E98" i="36"/>
  <c r="E99" i="36"/>
  <c r="E100" i="36"/>
  <c r="E101" i="36"/>
  <c r="E102" i="36"/>
  <c r="E103" i="36"/>
  <c r="E104" i="36"/>
  <c r="E105" i="36"/>
  <c r="E106" i="36"/>
  <c r="E107" i="36"/>
  <c r="E108" i="36"/>
  <c r="E109" i="36"/>
  <c r="E110" i="36"/>
  <c r="E111" i="36"/>
  <c r="E112" i="36"/>
  <c r="E113" i="36"/>
  <c r="E114" i="36"/>
  <c r="E115" i="36"/>
  <c r="E116" i="36"/>
  <c r="E117" i="36"/>
  <c r="E118" i="36"/>
  <c r="E119" i="36"/>
  <c r="E120" i="36"/>
  <c r="E121" i="36"/>
  <c r="E122" i="36"/>
  <c r="E123" i="36"/>
  <c r="E124" i="36"/>
  <c r="E125" i="36"/>
  <c r="E126" i="36"/>
  <c r="E127" i="36"/>
  <c r="E128" i="36"/>
  <c r="E129" i="36"/>
  <c r="E130" i="36"/>
  <c r="E131" i="36"/>
  <c r="E132" i="36"/>
  <c r="E133" i="36"/>
  <c r="E134" i="36"/>
  <c r="E135" i="36"/>
  <c r="E136" i="36"/>
  <c r="E137" i="36"/>
  <c r="E138" i="36"/>
  <c r="E139" i="36"/>
  <c r="E140" i="36"/>
  <c r="E141" i="36"/>
  <c r="E142" i="36"/>
  <c r="E143" i="36"/>
  <c r="E144" i="36"/>
  <c r="E145" i="36"/>
  <c r="E146" i="36"/>
  <c r="E147" i="36"/>
  <c r="E149" i="36"/>
  <c r="E150" i="36"/>
  <c r="F312" i="13"/>
  <c r="G312" i="13" s="1"/>
  <c r="F311" i="13"/>
  <c r="G311" i="13" s="1"/>
  <c r="F310" i="13"/>
  <c r="G310" i="13" s="1"/>
  <c r="F309" i="13"/>
  <c r="G309" i="13" s="1"/>
  <c r="F308" i="13"/>
  <c r="G308" i="13" s="1"/>
  <c r="F307" i="13"/>
  <c r="G307" i="13" s="1"/>
  <c r="F306" i="13"/>
  <c r="G306" i="13" s="1"/>
  <c r="F305" i="13"/>
  <c r="G305" i="13" s="1"/>
  <c r="F304" i="13"/>
  <c r="G304" i="13" s="1"/>
  <c r="F303" i="13"/>
  <c r="G303" i="13" s="1"/>
  <c r="F302" i="13"/>
  <c r="G302" i="13" s="1"/>
  <c r="F301" i="13"/>
  <c r="G301" i="13" s="1"/>
  <c r="F300" i="13"/>
  <c r="G300" i="13" s="1"/>
  <c r="F299" i="13"/>
  <c r="G299" i="13" s="1"/>
  <c r="F273" i="13"/>
  <c r="G273" i="13" s="1"/>
  <c r="F22" i="13"/>
  <c r="G22" i="13" s="1"/>
  <c r="F278" i="13"/>
  <c r="G278" i="13" s="1"/>
  <c r="F260" i="13"/>
  <c r="G260" i="13" s="1"/>
  <c r="F8" i="13"/>
  <c r="G8" i="13" s="1"/>
  <c r="F262" i="13"/>
  <c r="G262" i="13" s="1"/>
  <c r="F263" i="13"/>
  <c r="G263" i="13" s="1"/>
  <c r="F264" i="13"/>
  <c r="G264" i="13" s="1"/>
  <c r="F265" i="13"/>
  <c r="G265" i="13" s="1"/>
  <c r="F266" i="13"/>
  <c r="G266" i="13" s="1"/>
  <c r="F267" i="13"/>
  <c r="G267" i="13" s="1"/>
  <c r="F268" i="13"/>
  <c r="G268" i="13" s="1"/>
  <c r="F269" i="13"/>
  <c r="G269" i="13" s="1"/>
  <c r="F270" i="13"/>
  <c r="G270" i="13" s="1"/>
  <c r="F271" i="13"/>
  <c r="G271" i="13" s="1"/>
  <c r="F272" i="13"/>
  <c r="G272" i="13" s="1"/>
  <c r="F274" i="13"/>
  <c r="G274" i="13" s="1"/>
  <c r="F275" i="13"/>
  <c r="G275" i="13" s="1"/>
  <c r="F276" i="13"/>
  <c r="G276" i="13" s="1"/>
  <c r="F277" i="13"/>
  <c r="G277" i="13" s="1"/>
  <c r="F279" i="13"/>
  <c r="G279" i="13" s="1"/>
  <c r="F280" i="13"/>
  <c r="G280" i="13" s="1"/>
  <c r="F281" i="13"/>
  <c r="G281" i="13" s="1"/>
  <c r="F282" i="13"/>
  <c r="G282" i="13" s="1"/>
  <c r="F283" i="13"/>
  <c r="G283" i="13" s="1"/>
  <c r="F284" i="13"/>
  <c r="G284" i="13" s="1"/>
  <c r="F285" i="13"/>
  <c r="G285" i="13" s="1"/>
  <c r="F286" i="13"/>
  <c r="G286" i="13" s="1"/>
  <c r="F287" i="13"/>
  <c r="G287" i="13" s="1"/>
  <c r="F288" i="13"/>
  <c r="G288" i="13" s="1"/>
  <c r="F289" i="13"/>
  <c r="G289" i="13" s="1"/>
  <c r="F290" i="13"/>
  <c r="G290" i="13" s="1"/>
  <c r="F291" i="13"/>
  <c r="G291" i="13" s="1"/>
  <c r="F292" i="13"/>
  <c r="G292" i="13" s="1"/>
  <c r="F293" i="13"/>
  <c r="G293" i="13" s="1"/>
  <c r="F294" i="13"/>
  <c r="G294" i="13" s="1"/>
  <c r="F295" i="13"/>
  <c r="G295" i="13" s="1"/>
  <c r="F296" i="13"/>
  <c r="G296" i="13" s="1"/>
  <c r="F297" i="13"/>
  <c r="G297" i="13" s="1"/>
  <c r="F298" i="13"/>
  <c r="G298" i="13" s="1"/>
  <c r="F261" i="13"/>
  <c r="G261" i="13" s="1"/>
  <c r="F2" i="13"/>
  <c r="G2" i="13" s="1"/>
  <c r="F19" i="13"/>
  <c r="G19" i="13" s="1"/>
  <c r="F3" i="13"/>
  <c r="G3" i="13" s="1"/>
  <c r="F4" i="13"/>
  <c r="G4" i="13" s="1"/>
  <c r="F5" i="13"/>
  <c r="G5" i="13" s="1"/>
  <c r="F6" i="13"/>
  <c r="G6" i="13" s="1"/>
  <c r="F7" i="13"/>
  <c r="G7" i="13" s="1"/>
  <c r="F9" i="13"/>
  <c r="G9" i="13" s="1"/>
  <c r="F10" i="13"/>
  <c r="G10" i="13" s="1"/>
  <c r="F11" i="13"/>
  <c r="G11" i="13" s="1"/>
  <c r="F12" i="13"/>
  <c r="G12" i="13" s="1"/>
  <c r="F13" i="13"/>
  <c r="G13" i="13" s="1"/>
  <c r="F14" i="13"/>
  <c r="G14" i="13" s="1"/>
  <c r="F15" i="13"/>
  <c r="G15" i="13" s="1"/>
  <c r="F16" i="13"/>
  <c r="G16" i="13" s="1"/>
  <c r="F17" i="13"/>
  <c r="G17" i="13" s="1"/>
  <c r="F18" i="13"/>
  <c r="G18" i="13" s="1"/>
  <c r="F20" i="13"/>
  <c r="G20" i="13" s="1"/>
  <c r="F21" i="13"/>
  <c r="G21" i="13" s="1"/>
  <c r="F23" i="13"/>
  <c r="G23" i="13" s="1"/>
  <c r="F24" i="13"/>
  <c r="G24" i="13" s="1"/>
  <c r="F25" i="13"/>
  <c r="G25" i="13" s="1"/>
  <c r="F26" i="13"/>
  <c r="G26" i="13" s="1"/>
  <c r="F27" i="13"/>
  <c r="G27" i="13" s="1"/>
  <c r="F28" i="13"/>
  <c r="G28" i="13" s="1"/>
  <c r="F29" i="13"/>
  <c r="G29" i="13" s="1"/>
  <c r="F30" i="13"/>
  <c r="G30" i="13" s="1"/>
  <c r="F31" i="13"/>
  <c r="G31" i="13" s="1"/>
  <c r="F32" i="13"/>
  <c r="G32" i="13" s="1"/>
  <c r="F33" i="13"/>
  <c r="G33" i="13" s="1"/>
  <c r="F34" i="13"/>
  <c r="G34" i="13" s="1"/>
  <c r="F35" i="13"/>
  <c r="G35" i="13" s="1"/>
  <c r="F36" i="13"/>
  <c r="G36" i="13" s="1"/>
  <c r="F37" i="13"/>
  <c r="G37" i="13" s="1"/>
  <c r="F38" i="13"/>
  <c r="G38" i="13" s="1"/>
  <c r="F39" i="13"/>
  <c r="G39" i="13" s="1"/>
  <c r="F40" i="13"/>
  <c r="G40" i="13" s="1"/>
  <c r="F41" i="13"/>
  <c r="G41" i="13" s="1"/>
  <c r="F42" i="13"/>
  <c r="G42" i="13" s="1"/>
  <c r="F43" i="13"/>
  <c r="G43" i="13" s="1"/>
  <c r="F44" i="13"/>
  <c r="G44" i="13" s="1"/>
  <c r="F45" i="13"/>
  <c r="G45" i="13" s="1"/>
  <c r="F46" i="13"/>
  <c r="G46" i="13" s="1"/>
  <c r="F47" i="13"/>
  <c r="G47" i="13" s="1"/>
  <c r="F48" i="13"/>
  <c r="G48" i="13" s="1"/>
  <c r="F49" i="13"/>
  <c r="G49" i="13" s="1"/>
  <c r="F50" i="13"/>
  <c r="G50" i="13" s="1"/>
  <c r="F51" i="13"/>
  <c r="G51" i="13" s="1"/>
  <c r="F52" i="13"/>
  <c r="G52" i="13" s="1"/>
  <c r="F53" i="13"/>
  <c r="G53" i="13" s="1"/>
  <c r="F54" i="13"/>
  <c r="G54" i="13" s="1"/>
  <c r="F55" i="13"/>
  <c r="G55" i="13" s="1"/>
  <c r="F56" i="13"/>
  <c r="G56" i="13" s="1"/>
  <c r="F57" i="13"/>
  <c r="G57" i="13" s="1"/>
  <c r="F58" i="13"/>
  <c r="G58" i="13" s="1"/>
  <c r="F59" i="13"/>
  <c r="G59" i="13" s="1"/>
  <c r="F60" i="13"/>
  <c r="G60" i="13" s="1"/>
  <c r="F61" i="13"/>
  <c r="G61" i="13" s="1"/>
  <c r="F62" i="13"/>
  <c r="G62" i="13" s="1"/>
  <c r="F63" i="13"/>
  <c r="G63" i="13" s="1"/>
  <c r="F64" i="13"/>
  <c r="G64" i="13" s="1"/>
  <c r="F65" i="13"/>
  <c r="G65" i="13" s="1"/>
  <c r="F66" i="13"/>
  <c r="G66" i="13" s="1"/>
  <c r="F67" i="13"/>
  <c r="G67" i="13" s="1"/>
  <c r="F68" i="13"/>
  <c r="G68" i="13" s="1"/>
  <c r="F69" i="13"/>
  <c r="G69" i="13" s="1"/>
  <c r="F70" i="13"/>
  <c r="G70" i="13" s="1"/>
  <c r="F71" i="13"/>
  <c r="G71" i="13" s="1"/>
  <c r="F72" i="13"/>
  <c r="G72" i="13" s="1"/>
  <c r="F73" i="13"/>
  <c r="G73" i="13" s="1"/>
  <c r="F74" i="13"/>
  <c r="G74" i="13" s="1"/>
  <c r="F75" i="13"/>
  <c r="G75" i="13" s="1"/>
  <c r="F76" i="13"/>
  <c r="G76" i="13" s="1"/>
  <c r="F77" i="13"/>
  <c r="G77" i="13" s="1"/>
  <c r="F78" i="13"/>
  <c r="G78" i="13" s="1"/>
  <c r="F79" i="13"/>
  <c r="G79" i="13" s="1"/>
  <c r="F80" i="13"/>
  <c r="G80" i="13" s="1"/>
  <c r="F81" i="13"/>
  <c r="G81" i="13" s="1"/>
  <c r="F82" i="13"/>
  <c r="G82" i="13" s="1"/>
  <c r="F83" i="13"/>
  <c r="G83" i="13" s="1"/>
  <c r="F84" i="13"/>
  <c r="G84" i="13" s="1"/>
  <c r="F85" i="13"/>
  <c r="G85" i="13" s="1"/>
  <c r="F86" i="13"/>
  <c r="G86" i="13" s="1"/>
  <c r="F87" i="13"/>
  <c r="G87" i="13" s="1"/>
  <c r="F88" i="13"/>
  <c r="G88" i="13" s="1"/>
  <c r="F89" i="13"/>
  <c r="G89" i="13" s="1"/>
  <c r="F90" i="13"/>
  <c r="G90" i="13" s="1"/>
  <c r="F91" i="13"/>
  <c r="G91" i="13" s="1"/>
  <c r="F92" i="13"/>
  <c r="G92" i="13" s="1"/>
  <c r="F93" i="13"/>
  <c r="G93" i="13" s="1"/>
  <c r="F94" i="13"/>
  <c r="G94" i="13" s="1"/>
  <c r="F95" i="13"/>
  <c r="G95" i="13" s="1"/>
  <c r="F96" i="13"/>
  <c r="G96" i="13" s="1"/>
  <c r="F97" i="13"/>
  <c r="G97" i="13" s="1"/>
  <c r="F98" i="13"/>
  <c r="G98" i="13" s="1"/>
  <c r="F99" i="13"/>
  <c r="G99" i="13" s="1"/>
  <c r="F100" i="13"/>
  <c r="G100" i="13" s="1"/>
  <c r="F101" i="13"/>
  <c r="G101" i="13" s="1"/>
  <c r="F102" i="13"/>
  <c r="G102" i="13" s="1"/>
  <c r="F103" i="13"/>
  <c r="G103" i="13" s="1"/>
  <c r="F104" i="13"/>
  <c r="G104" i="13" s="1"/>
  <c r="F105" i="13"/>
  <c r="G105" i="13" s="1"/>
  <c r="F106" i="13"/>
  <c r="G106" i="13" s="1"/>
  <c r="F107" i="13"/>
  <c r="G107" i="13" s="1"/>
  <c r="F108" i="13"/>
  <c r="G108" i="13" s="1"/>
  <c r="F109" i="13"/>
  <c r="G109" i="13" s="1"/>
  <c r="F110" i="13"/>
  <c r="G110" i="13" s="1"/>
  <c r="F111" i="13"/>
  <c r="G111" i="13" s="1"/>
  <c r="F112" i="13"/>
  <c r="G112" i="13" s="1"/>
  <c r="F113" i="13"/>
  <c r="G113" i="13" s="1"/>
  <c r="F114" i="13"/>
  <c r="G114" i="13" s="1"/>
  <c r="F115" i="13"/>
  <c r="G115" i="13" s="1"/>
  <c r="F116" i="13"/>
  <c r="G116" i="13" s="1"/>
  <c r="F117" i="13"/>
  <c r="G117" i="13" s="1"/>
  <c r="F118" i="13"/>
  <c r="G118" i="13" s="1"/>
  <c r="F119" i="13"/>
  <c r="G119" i="13" s="1"/>
  <c r="F120" i="13"/>
  <c r="G120" i="13" s="1"/>
  <c r="F121" i="13"/>
  <c r="G121" i="13" s="1"/>
  <c r="F122" i="13"/>
  <c r="G122" i="13" s="1"/>
  <c r="F123" i="13"/>
  <c r="G123" i="13" s="1"/>
  <c r="F124" i="13"/>
  <c r="G124" i="13" s="1"/>
  <c r="F125" i="13"/>
  <c r="G125" i="13" s="1"/>
  <c r="F126" i="13"/>
  <c r="G126" i="13" s="1"/>
  <c r="F127" i="13"/>
  <c r="G127" i="13" s="1"/>
  <c r="F128" i="13"/>
  <c r="G128" i="13" s="1"/>
  <c r="F129" i="13"/>
  <c r="G129" i="13" s="1"/>
  <c r="F130" i="13"/>
  <c r="G130" i="13" s="1"/>
  <c r="F131" i="13"/>
  <c r="G131" i="13" s="1"/>
  <c r="F132" i="13"/>
  <c r="G132" i="13" s="1"/>
  <c r="F133" i="13"/>
  <c r="G133" i="13" s="1"/>
  <c r="F134" i="13"/>
  <c r="G134" i="13" s="1"/>
  <c r="F135" i="13"/>
  <c r="G135" i="13" s="1"/>
  <c r="F136" i="13"/>
  <c r="G136" i="13" s="1"/>
  <c r="F137" i="13"/>
  <c r="G137" i="13" s="1"/>
  <c r="F138" i="13"/>
  <c r="G138" i="13" s="1"/>
  <c r="F139" i="13"/>
  <c r="G139" i="13" s="1"/>
  <c r="F140" i="13"/>
  <c r="G140" i="13" s="1"/>
  <c r="F141" i="13"/>
  <c r="G141" i="13" s="1"/>
  <c r="F142" i="13"/>
  <c r="G142" i="13" s="1"/>
  <c r="F143" i="13"/>
  <c r="G143" i="13" s="1"/>
  <c r="F144" i="13"/>
  <c r="G144" i="13" s="1"/>
  <c r="F145" i="13"/>
  <c r="G145" i="13" s="1"/>
  <c r="F146" i="13"/>
  <c r="G146" i="13" s="1"/>
  <c r="F147" i="13"/>
  <c r="G147" i="13" s="1"/>
  <c r="F148" i="13"/>
  <c r="G148" i="13" s="1"/>
  <c r="F149" i="13"/>
  <c r="G149" i="13" s="1"/>
  <c r="F150" i="13"/>
  <c r="G150" i="13" s="1"/>
  <c r="F151" i="13"/>
  <c r="G151" i="13" s="1"/>
  <c r="F152" i="13"/>
  <c r="G152" i="13" s="1"/>
  <c r="F153" i="13"/>
  <c r="G153" i="13" s="1"/>
  <c r="F154" i="13"/>
  <c r="G154" i="13" s="1"/>
  <c r="F155" i="13"/>
  <c r="G155" i="13" s="1"/>
  <c r="F156" i="13"/>
  <c r="G156" i="13" s="1"/>
  <c r="F157" i="13"/>
  <c r="G157" i="13" s="1"/>
  <c r="F158" i="13"/>
  <c r="G158" i="13" s="1"/>
  <c r="F159" i="13"/>
  <c r="G159" i="13" s="1"/>
  <c r="F160" i="13"/>
  <c r="G160" i="13" s="1"/>
  <c r="F161" i="13"/>
  <c r="G161" i="13" s="1"/>
  <c r="F162" i="13"/>
  <c r="G162" i="13" s="1"/>
  <c r="F163" i="13"/>
  <c r="G163" i="13" s="1"/>
  <c r="F164" i="13"/>
  <c r="G164" i="13" s="1"/>
  <c r="F165" i="13"/>
  <c r="G165" i="13" s="1"/>
  <c r="F166" i="13"/>
  <c r="G166" i="13" s="1"/>
  <c r="F167" i="13"/>
  <c r="G167" i="13" s="1"/>
  <c r="F168" i="13"/>
  <c r="G168" i="13" s="1"/>
  <c r="F169" i="13"/>
  <c r="G169" i="13" s="1"/>
  <c r="F170" i="13"/>
  <c r="G170" i="13" s="1"/>
  <c r="F171" i="13"/>
  <c r="G171" i="13" s="1"/>
  <c r="F172" i="13"/>
  <c r="G172" i="13" s="1"/>
  <c r="F173" i="13"/>
  <c r="G173" i="13" s="1"/>
  <c r="F174" i="13"/>
  <c r="G174" i="13" s="1"/>
  <c r="F175" i="13"/>
  <c r="G175" i="13" s="1"/>
  <c r="F176" i="13"/>
  <c r="G176" i="13" s="1"/>
  <c r="F177" i="13"/>
  <c r="G177" i="13" s="1"/>
  <c r="F178" i="13"/>
  <c r="G178" i="13" s="1"/>
  <c r="F179" i="13"/>
  <c r="G179" i="13" s="1"/>
  <c r="F180" i="13"/>
  <c r="G180" i="13" s="1"/>
  <c r="F181" i="13"/>
  <c r="G181" i="13" s="1"/>
  <c r="F182" i="13"/>
  <c r="G182" i="13" s="1"/>
  <c r="F183" i="13"/>
  <c r="G183" i="13" s="1"/>
  <c r="F184" i="13"/>
  <c r="G184" i="13" s="1"/>
  <c r="F185" i="13"/>
  <c r="G185" i="13" s="1"/>
  <c r="F186" i="13"/>
  <c r="G186" i="13" s="1"/>
  <c r="F187" i="13"/>
  <c r="G187" i="13" s="1"/>
  <c r="F188" i="13"/>
  <c r="G188" i="13" s="1"/>
  <c r="F189" i="13"/>
  <c r="G189" i="13" s="1"/>
  <c r="F190" i="13"/>
  <c r="G190" i="13" s="1"/>
  <c r="F191" i="13"/>
  <c r="G191" i="13" s="1"/>
  <c r="F192" i="13"/>
  <c r="G192" i="13" s="1"/>
  <c r="F193" i="13"/>
  <c r="G193" i="13" s="1"/>
  <c r="F194" i="13"/>
  <c r="G194" i="13" s="1"/>
  <c r="F195" i="13"/>
  <c r="G195" i="13" s="1"/>
  <c r="F196" i="13"/>
  <c r="G196" i="13" s="1"/>
  <c r="F197" i="13"/>
  <c r="G197" i="13" s="1"/>
  <c r="F198" i="13"/>
  <c r="G198" i="13" s="1"/>
  <c r="F199" i="13"/>
  <c r="G199" i="13" s="1"/>
  <c r="F200" i="13"/>
  <c r="G200" i="13" s="1"/>
  <c r="F201" i="13"/>
  <c r="G201" i="13" s="1"/>
  <c r="F202" i="13"/>
  <c r="G202" i="13" s="1"/>
  <c r="F203" i="13"/>
  <c r="G203" i="13" s="1"/>
  <c r="F204" i="13"/>
  <c r="G204" i="13" s="1"/>
  <c r="F205" i="13"/>
  <c r="G205" i="13" s="1"/>
  <c r="F206" i="13"/>
  <c r="G206" i="13" s="1"/>
  <c r="F207" i="13"/>
  <c r="G207" i="13" s="1"/>
  <c r="F208" i="13"/>
  <c r="G208" i="13" s="1"/>
  <c r="F209" i="13"/>
  <c r="G209" i="13" s="1"/>
  <c r="F210" i="13"/>
  <c r="G210" i="13" s="1"/>
  <c r="F211" i="13"/>
  <c r="G211" i="13" s="1"/>
  <c r="F212" i="13"/>
  <c r="G212" i="13" s="1"/>
  <c r="F213" i="13"/>
  <c r="G213" i="13" s="1"/>
  <c r="F214" i="13"/>
  <c r="G214" i="13" s="1"/>
  <c r="F215" i="13"/>
  <c r="G215" i="13" s="1"/>
  <c r="F216" i="13"/>
  <c r="G216" i="13" s="1"/>
  <c r="F217" i="13"/>
  <c r="G217" i="13" s="1"/>
  <c r="F218" i="13"/>
  <c r="G218" i="13" s="1"/>
  <c r="F219" i="13"/>
  <c r="G219" i="13" s="1"/>
  <c r="F220" i="13"/>
  <c r="G220" i="13" s="1"/>
  <c r="F221" i="13"/>
  <c r="G221" i="13" s="1"/>
  <c r="F222" i="13"/>
  <c r="G222" i="13" s="1"/>
  <c r="F223" i="13"/>
  <c r="G223" i="13" s="1"/>
  <c r="F224" i="13"/>
  <c r="G224" i="13" s="1"/>
  <c r="F225" i="13"/>
  <c r="G225" i="13" s="1"/>
  <c r="F226" i="13"/>
  <c r="G226" i="13" s="1"/>
  <c r="F227" i="13"/>
  <c r="G227" i="13" s="1"/>
  <c r="F228" i="13"/>
  <c r="G228" i="13" s="1"/>
  <c r="F229" i="13"/>
  <c r="G229" i="13" s="1"/>
  <c r="F230" i="13"/>
  <c r="G230" i="13" s="1"/>
  <c r="F231" i="13"/>
  <c r="G231" i="13" s="1"/>
  <c r="F232" i="13"/>
  <c r="G232" i="13" s="1"/>
  <c r="F233" i="13"/>
  <c r="G233" i="13" s="1"/>
  <c r="F234" i="13"/>
  <c r="G234" i="13" s="1"/>
  <c r="F235" i="13"/>
  <c r="G235" i="13" s="1"/>
  <c r="F236" i="13"/>
  <c r="G236" i="13" s="1"/>
  <c r="F237" i="13"/>
  <c r="G237" i="13" s="1"/>
  <c r="F238" i="13"/>
  <c r="G238" i="13" s="1"/>
  <c r="F239" i="13"/>
  <c r="G239" i="13" s="1"/>
  <c r="F240" i="13"/>
  <c r="G240" i="13" s="1"/>
  <c r="F241" i="13"/>
  <c r="G241" i="13" s="1"/>
  <c r="F242" i="13"/>
  <c r="G242" i="13" s="1"/>
  <c r="F243" i="13"/>
  <c r="G243" i="13" s="1"/>
  <c r="F244" i="13"/>
  <c r="G244" i="13" s="1"/>
  <c r="F245" i="13"/>
  <c r="G245" i="13" s="1"/>
  <c r="F246" i="13"/>
  <c r="G246" i="13" s="1"/>
  <c r="F247" i="13"/>
  <c r="G247" i="13" s="1"/>
  <c r="F248" i="13"/>
  <c r="G248" i="13" s="1"/>
  <c r="F249" i="13"/>
  <c r="G249" i="13" s="1"/>
  <c r="F250" i="13"/>
  <c r="G250" i="13" s="1"/>
  <c r="F251" i="13"/>
  <c r="G251" i="13" s="1"/>
  <c r="F252" i="13"/>
  <c r="G252" i="13" s="1"/>
  <c r="F253" i="13"/>
  <c r="G253" i="13" s="1"/>
  <c r="F254" i="13"/>
  <c r="G254" i="13" s="1"/>
  <c r="F255" i="13"/>
  <c r="G255" i="13" s="1"/>
  <c r="F256" i="13"/>
  <c r="G256" i="13" s="1"/>
  <c r="F257" i="13"/>
  <c r="G257" i="13" s="1"/>
  <c r="F258" i="13"/>
  <c r="G258" i="13" s="1"/>
  <c r="F259" i="13"/>
  <c r="G259" i="13" s="1"/>
  <c r="S8" i="45"/>
  <c r="B5" i="50" l="1"/>
  <c r="B3" i="50"/>
  <c r="G34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33A8FB-2675-4E50-A028-3B67EE3025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BAA3360-D2B6-4E4D-B9BF-38DE8A2C5157}" name="WorksheetConnection_Orders!$A:$G" type="102" refreshedVersion="8" minRefreshableVersion="5">
    <extLst>
      <ext xmlns:x15="http://schemas.microsoft.com/office/spreadsheetml/2010/11/main" uri="{DE250136-89BD-433C-8126-D09CA5730AF9}">
        <x15:connection id="Range" autoDelete="1">
          <x15:rangePr sourceName="_xlcn.WorksheetConnection_OrdersAG1"/>
        </x15:connection>
      </ext>
    </extLst>
  </connection>
  <connection id="3" xr16:uid="{DAE08EDF-6D5F-4156-950B-0F8E96F1C099}" name="WorksheetConnection_Products!$A:$E" type="102" refreshedVersion="8" minRefreshableVersion="5">
    <extLst>
      <ext xmlns:x15="http://schemas.microsoft.com/office/spreadsheetml/2010/11/main" uri="{DE250136-89BD-433C-8126-D09CA5730AF9}">
        <x15:connection id="Range 1" autoDelete="1">
          <x15:rangePr sourceName="_xlcn.WorksheetConnection_ProductsAE1"/>
        </x15:connection>
      </ext>
    </extLst>
  </connection>
  <connection id="4" xr16:uid="{E47ED078-C990-4887-A2A1-72204DAD21A6}" name="WorksheetConnection_مشروعي4.xlsx!Customers_1" type="102" refreshedVersion="8" minRefreshableVersion="5">
    <extLst>
      <ext xmlns:x15="http://schemas.microsoft.com/office/spreadsheetml/2010/11/main" uri="{DE250136-89BD-433C-8126-D09CA5730AF9}">
        <x15:connection id="Customers_1">
          <x15:rangePr sourceName="_xlcn.WorksheetConnection_مشروعي4.xlsxCustomers_11"/>
        </x15:connection>
      </ext>
    </extLst>
  </connection>
  <connection id="5" xr16:uid="{F38813D4-F31F-4018-98BD-E1C1FFF7520C}" name="WorksheetConnection_مشروعي4.xlsx!PROUDCTS" type="102" refreshedVersion="8" minRefreshableVersion="5">
    <extLst>
      <ext xmlns:x15="http://schemas.microsoft.com/office/spreadsheetml/2010/11/main" uri="{DE250136-89BD-433C-8126-D09CA5730AF9}">
        <x15:connection id="PROUDCTS">
          <x15:rangePr sourceName="_xlcn.WorksheetConnection_مشروعي4.xlsxPROUDCTS1"/>
        </x15:connection>
      </ext>
    </extLst>
  </connection>
  <connection id="6" xr16:uid="{A5AF6074-3EC7-46C7-8C2B-0E6EF6D50EEF}" name="WorksheetConnection_مشروعي4.xlsx!Table3" type="102" refreshedVersion="8" minRefreshableVersion="5">
    <extLst>
      <ext xmlns:x15="http://schemas.microsoft.com/office/spreadsheetml/2010/11/main" uri="{DE250136-89BD-433C-8126-D09CA5730AF9}">
        <x15:connection id="Table3" autoDelete="1">
          <x15:rangePr sourceName="_xlcn.WorksheetConnection_مشروعي4.xlsxTable31"/>
        </x15:connection>
      </ext>
    </extLst>
  </connection>
</connections>
</file>

<file path=xl/sharedStrings.xml><?xml version="1.0" encoding="utf-8"?>
<sst xmlns="http://schemas.openxmlformats.org/spreadsheetml/2006/main" count="833" uniqueCount="285">
  <si>
    <t>Quantity</t>
  </si>
  <si>
    <t>Price</t>
  </si>
  <si>
    <t>Kayboard</t>
  </si>
  <si>
    <t>Mouse</t>
  </si>
  <si>
    <t>Order_Date</t>
  </si>
  <si>
    <t>Phone_Number</t>
  </si>
  <si>
    <t>Email</t>
  </si>
  <si>
    <t>Kayboard_Razer_Tartrus</t>
  </si>
  <si>
    <t>Mouse_razer basilisk v3</t>
  </si>
  <si>
    <t>Logitech MX Master 3S Mouse</t>
  </si>
  <si>
    <t>Xbox_One</t>
  </si>
  <si>
    <t>XPG GAMMIX S60 Gen 4 NVME M.2 - Black - 512gb</t>
  </si>
  <si>
    <t>Crucial E100 Gen4 NVMe M.2 - Black - 1TB</t>
  </si>
  <si>
    <t>XPG Gammix S70 Blade Gen 4 M.2 - 2TB</t>
  </si>
  <si>
    <t>Samsung 990 EVO PLUS PCIe 4.0 NVMe M.2 - 1TB</t>
  </si>
  <si>
    <t>Palit GeForce RTX 5060 Infinity</t>
  </si>
  <si>
    <t>Sapphire PULSE AMD Radeon RX 9070 XT 16GB GPU</t>
  </si>
  <si>
    <t>MSI GeForce RTX 3050</t>
  </si>
  <si>
    <t>Intel Core Ultra 5 245K CPU</t>
  </si>
  <si>
    <t>Intel Core Ultra 7 265KF Tray CPU</t>
  </si>
  <si>
    <t>AMD Ryzen 5 7600x CPU</t>
  </si>
  <si>
    <t>AMD Ryzen 9 7900x CPU</t>
  </si>
  <si>
    <t>Intel Core i7-13700 CPU</t>
  </si>
  <si>
    <t>Intel Core i9-13900 CPU</t>
  </si>
  <si>
    <t>AMD Ryzen 9 9950X3D CPU</t>
  </si>
  <si>
    <t>Brand</t>
  </si>
  <si>
    <t>Red-dragon K552 Mechanical Keyboard</t>
  </si>
  <si>
    <t>PlayStation-5 Digital Edition</t>
  </si>
  <si>
    <t>Xbox_Series_X</t>
  </si>
  <si>
    <t>PNY GeForce RTX 5060 Ti ARGB OC Triple Fan</t>
  </si>
  <si>
    <t>Samsung 990 EVO PLUS 1TB NVMe</t>
  </si>
  <si>
    <t>Crucial P3 Plus 500GB</t>
  </si>
  <si>
    <t>XPG GAMMIX S70 Blade Gen4 2TB</t>
  </si>
  <si>
    <t>MSI RTX 4070 Ti Super Gaming X</t>
  </si>
  <si>
    <t>Sapphire Nitro+ RX 7900 XTX</t>
  </si>
  <si>
    <t>Intel Core i7 14700K Processor</t>
  </si>
  <si>
    <t>AMD Ryzen 9 7950X3D</t>
  </si>
  <si>
    <t>Razer Basilisk V3 Pro Mouse</t>
  </si>
  <si>
    <t>Kingston_FURY Beast 16GB DDR5</t>
  </si>
  <si>
    <t>Apple Magic Keyboard</t>
  </si>
  <si>
    <t>HP Pavilion Gaming Mouse 300</t>
  </si>
  <si>
    <t>Dell UltraSharp U2723QE Monitor</t>
  </si>
  <si>
    <t>ASUS TUF Gaming B650-PLUS</t>
  </si>
  <si>
    <t>Corsair Vengeance LPX 32GB DDR4</t>
  </si>
  <si>
    <t>WD Black SN850X 1TB</t>
  </si>
  <si>
    <t>Seagate Barracuda 2TB HDD</t>
  </si>
  <si>
    <t>SteelSeries Arctis 7</t>
  </si>
  <si>
    <t>HyperX Cloud II</t>
  </si>
  <si>
    <t>Corsair HS50 Pro</t>
  </si>
  <si>
    <t>Samsung Odyssey G5 27" QHD 144Hz</t>
  </si>
  <si>
    <t>LG UltraGear 27GP850-B 165Hz</t>
  </si>
  <si>
    <t>ASUS TUF Gaming VG27AQ 165Hz</t>
  </si>
  <si>
    <t>Category</t>
  </si>
  <si>
    <t>Gaming Headset</t>
  </si>
  <si>
    <t>Logitech</t>
  </si>
  <si>
    <t>XPG</t>
  </si>
  <si>
    <t>Crucial</t>
  </si>
  <si>
    <t>Samsung</t>
  </si>
  <si>
    <t>Palit</t>
  </si>
  <si>
    <t>Sapphire</t>
  </si>
  <si>
    <t>PNY</t>
  </si>
  <si>
    <t>MSI</t>
  </si>
  <si>
    <t>Intel</t>
  </si>
  <si>
    <t>AMD</t>
  </si>
  <si>
    <t>HyperX Cloud Alpha</t>
  </si>
  <si>
    <t>GPU</t>
  </si>
  <si>
    <t>CPU</t>
  </si>
  <si>
    <t>Consle</t>
  </si>
  <si>
    <t>Storage</t>
  </si>
  <si>
    <t>Monitor</t>
  </si>
  <si>
    <t>Motherboard</t>
  </si>
  <si>
    <t>RAM</t>
  </si>
  <si>
    <t>SteelSeries</t>
  </si>
  <si>
    <t>HyperX</t>
  </si>
  <si>
    <t>Corsair</t>
  </si>
  <si>
    <t>Mouse_razer</t>
  </si>
  <si>
    <t>Red-dragon</t>
  </si>
  <si>
    <t>PlayStation-5</t>
  </si>
  <si>
    <t>Razer</t>
  </si>
  <si>
    <t>ASUS</t>
  </si>
  <si>
    <t>Kingston_FURY</t>
  </si>
  <si>
    <t>WD</t>
  </si>
  <si>
    <t>Seagate</t>
  </si>
  <si>
    <t>Apple</t>
  </si>
  <si>
    <t>HP</t>
  </si>
  <si>
    <t>Dell</t>
  </si>
  <si>
    <t>LG</t>
  </si>
  <si>
    <t/>
  </si>
  <si>
    <t>Razer_Tartrus</t>
  </si>
  <si>
    <t>Turky Abdullah</t>
  </si>
  <si>
    <t>Mona Salah</t>
  </si>
  <si>
    <t>Mohammed Ali</t>
  </si>
  <si>
    <t xml:space="preserve"> Sara Khalid</t>
  </si>
  <si>
    <t xml:space="preserve"> Omar Hassan</t>
  </si>
  <si>
    <t xml:space="preserve"> Noor Abdullah</t>
  </si>
  <si>
    <t xml:space="preserve"> Faisal Mohammed</t>
  </si>
  <si>
    <t xml:space="preserve"> Aisha Saeed</t>
  </si>
  <si>
    <t xml:space="preserve"> Khaled Ibrahim</t>
  </si>
  <si>
    <t xml:space="preserve"> Lina Abdulrahman</t>
  </si>
  <si>
    <t xml:space="preserve"> Youssef Nasser</t>
  </si>
  <si>
    <t xml:space="preserve"> Huda Saleh</t>
  </si>
  <si>
    <t xml:space="preserve"> Ahmed Faris</t>
  </si>
  <si>
    <t xml:space="preserve"> Reem Adel</t>
  </si>
  <si>
    <t xml:space="preserve"> Abdullah Sami</t>
  </si>
  <si>
    <t xml:space="preserve"> Maha Yasin</t>
  </si>
  <si>
    <t xml:space="preserve"> Salman Rashid</t>
  </si>
  <si>
    <t xml:space="preserve"> Dana Faisal</t>
  </si>
  <si>
    <t xml:space="preserve"> Ibrahim Tarek</t>
  </si>
  <si>
    <t xml:space="preserve"> Noura Majed</t>
  </si>
  <si>
    <t xml:space="preserve"> Hassan Ali</t>
  </si>
  <si>
    <t xml:space="preserve"> Rania Sultan</t>
  </si>
  <si>
    <t xml:space="preserve"> Saad Mutlaq</t>
  </si>
  <si>
    <t xml:space="preserve"> Mona Hisham</t>
  </si>
  <si>
    <t xml:space="preserve"> Talal Nawaf</t>
  </si>
  <si>
    <t xml:space="preserve"> Aya Mahmoud</t>
  </si>
  <si>
    <t xml:space="preserve"> Zaid Omar</t>
  </si>
  <si>
    <t xml:space="preserve"> Laila Qasim</t>
  </si>
  <si>
    <t xml:space="preserve"> Fahad Turki</t>
  </si>
  <si>
    <t xml:space="preserve"> Bushra Amin</t>
  </si>
  <si>
    <t xml:space="preserve"> Mohammed Aziz</t>
  </si>
  <si>
    <t xml:space="preserve"> Rana Bilal</t>
  </si>
  <si>
    <t xml:space="preserve"> Nawaf Abdullah</t>
  </si>
  <si>
    <t xml:space="preserve"> Fatimah Kareem</t>
  </si>
  <si>
    <t xml:space="preserve"> Bandar Saleh</t>
  </si>
  <si>
    <t xml:space="preserve"> Eman Samir</t>
  </si>
  <si>
    <t xml:space="preserve"> Abdulaziz Khalaf</t>
  </si>
  <si>
    <t xml:space="preserve"> Mariam Anwar</t>
  </si>
  <si>
    <t xml:space="preserve"> Osama Jamal</t>
  </si>
  <si>
    <t xml:space="preserve"> Nada Refaat</t>
  </si>
  <si>
    <t xml:space="preserve"> Sultan Fahd</t>
  </si>
  <si>
    <t xml:space="preserve"> Heba Ismail</t>
  </si>
  <si>
    <t xml:space="preserve"> Tariq Abdulaziz</t>
  </si>
  <si>
    <t xml:space="preserve"> Salma Yousif</t>
  </si>
  <si>
    <t xml:space="preserve"> Majed Abdullah</t>
  </si>
  <si>
    <t xml:space="preserve"> Yasmin Nabil</t>
  </si>
  <si>
    <t xml:space="preserve"> Rashed Ali</t>
  </si>
  <si>
    <t xml:space="preserve"> Abeer Saif</t>
  </si>
  <si>
    <t xml:space="preserve"> Muteb Khalid</t>
  </si>
  <si>
    <t xml:space="preserve"> Hanan Adel</t>
  </si>
  <si>
    <t xml:space="preserve"> Abdulrahman Saeed</t>
  </si>
  <si>
    <t xml:space="preserve"> Dalia Hassan</t>
  </si>
  <si>
    <t xml:space="preserve"> Sami Fawzi</t>
  </si>
  <si>
    <t xml:space="preserve"> Shatha Omar</t>
  </si>
  <si>
    <t xml:space="preserve"> Nasser Hamad</t>
  </si>
  <si>
    <t xml:space="preserve"> Lubna Khalil</t>
  </si>
  <si>
    <t xml:space="preserve"> Fahd Salem</t>
  </si>
  <si>
    <t xml:space="preserve"> Inas Tamer</t>
  </si>
  <si>
    <t xml:space="preserve"> Khalaf Abdullah</t>
  </si>
  <si>
    <t xml:space="preserve"> Rawan Mazen</t>
  </si>
  <si>
    <t xml:space="preserve"> Hamad Ibrahim</t>
  </si>
  <si>
    <t xml:space="preserve"> Sawsan Akram</t>
  </si>
  <si>
    <t xml:space="preserve"> Turki Salman</t>
  </si>
  <si>
    <t xml:space="preserve"> Mai Reda</t>
  </si>
  <si>
    <t xml:space="preserve"> Adel Yaqoub</t>
  </si>
  <si>
    <t xml:space="preserve"> Suha Qais</t>
  </si>
  <si>
    <t xml:space="preserve"> Bilal Farhan</t>
  </si>
  <si>
    <t xml:space="preserve"> Rima Ziad</t>
  </si>
  <si>
    <t xml:space="preserve"> Walid Ashraf</t>
  </si>
  <si>
    <t xml:space="preserve"> Nourhan Fadi</t>
  </si>
  <si>
    <t xml:space="preserve"> Jamal Nasser</t>
  </si>
  <si>
    <t xml:space="preserve"> Tasneem Hani</t>
  </si>
  <si>
    <t xml:space="preserve"> Mishal Saud</t>
  </si>
  <si>
    <t xml:space="preserve"> Ghada Bassam</t>
  </si>
  <si>
    <t xml:space="preserve"> Riyadh Mansour</t>
  </si>
  <si>
    <t xml:space="preserve"> Lama Aref</t>
  </si>
  <si>
    <t xml:space="preserve"> Anas Qudsi</t>
  </si>
  <si>
    <t xml:space="preserve"> Amani Lutfi</t>
  </si>
  <si>
    <t xml:space="preserve"> Bader Hilal</t>
  </si>
  <si>
    <t xml:space="preserve"> Farah Issa</t>
  </si>
  <si>
    <t xml:space="preserve"> Haytham Rami</t>
  </si>
  <si>
    <t xml:space="preserve"> Najlaa Sami</t>
  </si>
  <si>
    <t xml:space="preserve"> Marwan Tawfiq</t>
  </si>
  <si>
    <t xml:space="preserve"> Duaa Munir</t>
  </si>
  <si>
    <t xml:space="preserve"> Sulaiman Raad</t>
  </si>
  <si>
    <t xml:space="preserve"> Hala Mazin</t>
  </si>
  <si>
    <t xml:space="preserve"> Yazan Kareem</t>
  </si>
  <si>
    <t xml:space="preserve"> Sahar Jibril</t>
  </si>
  <si>
    <t xml:space="preserve"> Qasem Naji</t>
  </si>
  <si>
    <t xml:space="preserve"> Ilham Zaki</t>
  </si>
  <si>
    <t xml:space="preserve"> Abdulilah Faraj</t>
  </si>
  <si>
    <t xml:space="preserve"> Shurooq Adel</t>
  </si>
  <si>
    <t xml:space="preserve"> Muneer Sami</t>
  </si>
  <si>
    <t xml:space="preserve"> Raghad Samer</t>
  </si>
  <si>
    <t xml:space="preserve"> Nawaf Badr</t>
  </si>
  <si>
    <t xml:space="preserve"> Amal Fouad</t>
  </si>
  <si>
    <t xml:space="preserve"> Saeed Kanaan</t>
  </si>
  <si>
    <t xml:space="preserve"> Hiba Taleb</t>
  </si>
  <si>
    <t xml:space="preserve"> Basel Mustafa</t>
  </si>
  <si>
    <t xml:space="preserve"> Ikram Yusuf</t>
  </si>
  <si>
    <t xml:space="preserve"> Mazen Hatem</t>
  </si>
  <si>
    <t>Order_ID</t>
  </si>
  <si>
    <t>Logitech_G50</t>
  </si>
  <si>
    <t>Kayborad_Red_dragon</t>
  </si>
  <si>
    <t>Logitech MX Pro  Mouse</t>
  </si>
  <si>
    <t>Unit_Price</t>
  </si>
  <si>
    <t>Sales</t>
  </si>
  <si>
    <t>Grand Total</t>
  </si>
  <si>
    <t>Oct</t>
  </si>
  <si>
    <t>Dec</t>
  </si>
  <si>
    <t>Sum of Sales</t>
  </si>
  <si>
    <t>Customer_ID</t>
  </si>
  <si>
    <t>Customer_Name</t>
  </si>
  <si>
    <t>Product_ID</t>
  </si>
  <si>
    <t>Product_Name</t>
  </si>
  <si>
    <t>City</t>
  </si>
  <si>
    <t>Jeddah</t>
  </si>
  <si>
    <t>Riyadh</t>
  </si>
  <si>
    <t>Al Dammam</t>
  </si>
  <si>
    <t>Makkah</t>
  </si>
  <si>
    <t>Yousef Mohammed</t>
  </si>
  <si>
    <t>Nov</t>
  </si>
  <si>
    <t>Turky Ali</t>
  </si>
  <si>
    <t>Saad Ahmed</t>
  </si>
  <si>
    <t>Sara Mohammed</t>
  </si>
  <si>
    <t>Yasser Mfrah</t>
  </si>
  <si>
    <t>Khaild Yousef</t>
  </si>
  <si>
    <t>Ahmed Ali</t>
  </si>
  <si>
    <t>Ali Saud</t>
  </si>
  <si>
    <t>Mona Mnasor</t>
  </si>
  <si>
    <t>Jahed Eid</t>
  </si>
  <si>
    <t>Rayan Abdullah</t>
  </si>
  <si>
    <t>Majed Naser</t>
  </si>
  <si>
    <t>Soha Yousef</t>
  </si>
  <si>
    <t>Nada Ali</t>
  </si>
  <si>
    <t>Omer Abdulaziz</t>
  </si>
  <si>
    <t>Mona Sari</t>
  </si>
  <si>
    <t>Othman Khalid</t>
  </si>
  <si>
    <t>Ahmed Ismail</t>
  </si>
  <si>
    <t>Yara Mohammed</t>
  </si>
  <si>
    <t>Norah Abdullah</t>
  </si>
  <si>
    <t>Ndeem Ali</t>
  </si>
  <si>
    <t>Sara Abdullah</t>
  </si>
  <si>
    <t>Omer Ahmed</t>
  </si>
  <si>
    <t>Waled Ibrahem</t>
  </si>
  <si>
    <t>Khalid Naseer</t>
  </si>
  <si>
    <t>Mnerh Ahmed</t>
  </si>
  <si>
    <t>Dalal Turky</t>
  </si>
  <si>
    <t>Mohammed abdullaziz</t>
  </si>
  <si>
    <t>Yousef Ali</t>
  </si>
  <si>
    <t>Omer Salman</t>
  </si>
  <si>
    <t>Sleam Eid</t>
  </si>
  <si>
    <t>Sari Majhed</t>
  </si>
  <si>
    <t xml:space="preserve">Ali Ahmed </t>
  </si>
  <si>
    <t>Norah Mohammed</t>
  </si>
  <si>
    <t>Razan Yousef</t>
  </si>
  <si>
    <t>Manaf Ahmed</t>
  </si>
  <si>
    <t>9664576801</t>
  </si>
  <si>
    <t>9663461201</t>
  </si>
  <si>
    <t>9662605575</t>
  </si>
  <si>
    <t>9665302440</t>
  </si>
  <si>
    <t>Yasser Fasial</t>
  </si>
  <si>
    <t>Bader Majed</t>
  </si>
  <si>
    <t>Hamdan Abdullah</t>
  </si>
  <si>
    <t>Abdullalkrem Saud</t>
  </si>
  <si>
    <t>Mohamed Fahad</t>
  </si>
  <si>
    <t>Shahd Abdullah</t>
  </si>
  <si>
    <t>Reem Faisal</t>
  </si>
  <si>
    <t>Abdulaziz Sultan</t>
  </si>
  <si>
    <t>Omar Rashid</t>
  </si>
  <si>
    <t>Sep</t>
  </si>
  <si>
    <t>Products</t>
  </si>
  <si>
    <t>Customers</t>
  </si>
  <si>
    <t>Months</t>
  </si>
  <si>
    <t>Arwa ahmed</t>
  </si>
  <si>
    <t>Orders</t>
  </si>
  <si>
    <t>Names</t>
  </si>
  <si>
    <t>Proudcts</t>
  </si>
  <si>
    <t>Ali Ahmed</t>
  </si>
  <si>
    <t xml:space="preserve"> Riyadh Leads 33% market share 111 orders</t>
  </si>
  <si>
    <t xml:space="preserve"> High Loyalty 135% repeat rate Customers return often</t>
  </si>
  <si>
    <t>TOP 10 Customers</t>
  </si>
  <si>
    <t>REVENUE ANALYSIS</t>
  </si>
  <si>
    <t>September</t>
  </si>
  <si>
    <t>October</t>
  </si>
  <si>
    <t>November</t>
  </si>
  <si>
    <t>December</t>
  </si>
  <si>
    <t xml:space="preserve">  Key Performance Metrics - Q4 2024</t>
  </si>
  <si>
    <t>Avarage Order</t>
  </si>
  <si>
    <t>Total Revenue</t>
  </si>
  <si>
    <t>Higest order</t>
  </si>
  <si>
    <t>CUSTOMER METRICS</t>
  </si>
  <si>
    <r>
      <rPr>
        <b/>
        <sz val="14"/>
        <color theme="1"/>
        <rFont val="Aptos Narrow"/>
        <family val="2"/>
        <scheme val="minor"/>
      </rPr>
      <t xml:space="preserve">Total Customers </t>
    </r>
    <r>
      <rPr>
        <sz val="11"/>
        <color theme="1"/>
        <rFont val="Aptos Narrow"/>
        <family val="2"/>
        <scheme val="minor"/>
      </rPr>
      <t xml:space="preserve"> </t>
    </r>
  </si>
  <si>
    <t>Prodct_ID</t>
  </si>
  <si>
    <t>MONTHLY PERFORMANCE</t>
  </si>
  <si>
    <r>
      <t xml:space="preserve">Orders per </t>
    </r>
    <r>
      <rPr>
        <b/>
        <sz val="12"/>
        <color theme="1"/>
        <rFont val="Aptos Narrow"/>
        <family val="2"/>
        <scheme val="minor"/>
      </rPr>
      <t>Customer</t>
    </r>
    <r>
      <rPr>
        <b/>
        <sz val="14"/>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</si>
</sst>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73" formatCode="_(&quot;$&quot;* #,##0_);_(&quot;$&quot;* \(#,##0\);_(&quot;$&quot;* &quot;-&quot;??_);_(@_)"/>
  </numFmts>
  <fonts count="14"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b/>
      <sz val="14"/>
      <color theme="1"/>
      <name val="Aptos Narrow"/>
      <family val="2"/>
      <scheme val="minor"/>
    </font>
    <font>
      <b/>
      <sz val="14"/>
      <color theme="1" tint="4.9989318521683403E-2"/>
      <name val="Aptos Narrow"/>
      <family val="2"/>
      <scheme val="minor"/>
    </font>
    <font>
      <sz val="11"/>
      <color theme="1" tint="0.499984740745262"/>
      <name val="Aptos Narrow"/>
      <family val="2"/>
      <scheme val="minor"/>
    </font>
    <font>
      <b/>
      <sz val="11"/>
      <color theme="0"/>
      <name val="Aptos Narrow"/>
      <family val="2"/>
      <scheme val="minor"/>
    </font>
    <font>
      <sz val="11"/>
      <color theme="0"/>
      <name val="Aptos Narrow"/>
      <family val="2"/>
      <scheme val="minor"/>
    </font>
    <font>
      <b/>
      <sz val="12"/>
      <color theme="1"/>
      <name val="Aptos Narrow"/>
      <family val="2"/>
      <scheme val="minor"/>
    </font>
    <font>
      <b/>
      <sz val="12"/>
      <color theme="1" tint="0.499984740745262"/>
      <name val="Aptos Narrow"/>
      <family val="2"/>
      <scheme val="minor"/>
    </font>
    <font>
      <sz val="11"/>
      <color theme="1"/>
      <name val="Aptos Narrow"/>
      <family val="2"/>
      <scheme val="minor"/>
    </font>
    <font>
      <b/>
      <sz val="16"/>
      <color theme="0"/>
      <name val="Aptos Narrow"/>
      <family val="2"/>
      <scheme val="minor"/>
    </font>
    <font>
      <sz val="16"/>
      <color theme="0"/>
      <name val="Aptos Narrow"/>
      <family val="2"/>
      <scheme val="minor"/>
    </font>
  </fonts>
  <fills count="11">
    <fill>
      <patternFill patternType="none"/>
    </fill>
    <fill>
      <patternFill patternType="gray125"/>
    </fill>
    <fill>
      <patternFill patternType="solid">
        <fgColor theme="0"/>
        <bgColor indexed="64"/>
      </patternFill>
    </fill>
    <fill>
      <patternFill patternType="solid">
        <fgColor theme="3" tint="0.499984740745262"/>
        <bgColor indexed="64"/>
      </patternFill>
    </fill>
    <fill>
      <patternFill patternType="solid">
        <fgColor theme="4" tint="0.79998168889431442"/>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3" tint="0.749992370372631"/>
        <bgColor indexed="64"/>
      </patternFill>
    </fill>
    <fill>
      <patternFill patternType="solid">
        <fgColor theme="4" tint="-0.499984740745262"/>
        <bgColor indexed="64"/>
      </patternFill>
    </fill>
    <fill>
      <patternFill patternType="solid">
        <fgColor theme="3"/>
        <bgColor indexed="64"/>
      </patternFill>
    </fill>
    <fill>
      <patternFill patternType="solid">
        <fgColor theme="4" tint="-0.249977111117893"/>
        <bgColor indexed="64"/>
      </patternFill>
    </fill>
  </fills>
  <borders count="24">
    <border>
      <left/>
      <right/>
      <top/>
      <bottom/>
      <diagonal/>
    </border>
    <border>
      <left/>
      <right style="thin">
        <color indexed="64"/>
      </right>
      <top/>
      <bottom/>
      <diagonal/>
    </border>
    <border>
      <left/>
      <right/>
      <top style="double">
        <color indexed="64"/>
      </top>
      <bottom/>
      <diagonal/>
    </border>
    <border>
      <left style="thin">
        <color indexed="64"/>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double">
        <color indexed="64"/>
      </left>
      <right style="double">
        <color indexed="64"/>
      </right>
      <top/>
      <bottom/>
      <diagonal/>
    </border>
    <border>
      <left/>
      <right style="double">
        <color indexed="64"/>
      </right>
      <top style="double">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ck">
        <color indexed="64"/>
      </bottom>
      <diagonal/>
    </border>
    <border>
      <left style="thin">
        <color indexed="64"/>
      </left>
      <right style="thin">
        <color indexed="64"/>
      </right>
      <top style="double">
        <color indexed="64"/>
      </top>
      <bottom style="thick">
        <color indexed="64"/>
      </bottom>
      <diagonal/>
    </border>
    <border>
      <left style="double">
        <color indexed="64"/>
      </left>
      <right style="thin">
        <color indexed="64"/>
      </right>
      <top/>
      <bottom style="thick">
        <color indexed="64"/>
      </bottom>
      <diagonal/>
    </border>
    <border>
      <left style="double">
        <color indexed="64"/>
      </left>
      <right style="thin">
        <color indexed="64"/>
      </right>
      <top style="thick">
        <color indexed="64"/>
      </top>
      <bottom style="thick">
        <color indexed="64"/>
      </bottom>
      <diagonal/>
    </border>
    <border>
      <left style="double">
        <color indexed="64"/>
      </left>
      <right style="thin">
        <color indexed="64"/>
      </right>
      <top style="thick">
        <color indexed="64"/>
      </top>
      <bottom/>
      <diagonal/>
    </border>
    <border>
      <left style="double">
        <color indexed="64"/>
      </left>
      <right style="thin">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double">
        <color indexed="64"/>
      </top>
      <bottom style="double">
        <color indexed="64"/>
      </bottom>
      <diagonal/>
    </border>
  </borders>
  <cellStyleXfs count="3">
    <xf numFmtId="0" fontId="0" fillId="0" borderId="0"/>
    <xf numFmtId="0" fontId="2" fillId="0" borderId="0" applyNumberFormat="0" applyFill="0" applyBorder="0" applyAlignment="0" applyProtection="0"/>
    <xf numFmtId="44" fontId="11" fillId="0" borderId="0" applyFont="0" applyFill="0" applyBorder="0" applyAlignment="0" applyProtection="0"/>
  </cellStyleXfs>
  <cellXfs count="75">
    <xf numFmtId="0" fontId="0" fillId="0" borderId="0" xfId="0"/>
    <xf numFmtId="0" fontId="1" fillId="0" borderId="0" xfId="0" applyFont="1"/>
    <xf numFmtId="14" fontId="1" fillId="0" borderId="0" xfId="0" applyNumberFormat="1" applyFont="1"/>
    <xf numFmtId="1" fontId="1" fillId="0" borderId="0" xfId="0" applyNumberFormat="1" applyFont="1"/>
    <xf numFmtId="1" fontId="1" fillId="0" borderId="18" xfId="0" applyNumberFormat="1" applyFont="1" applyBorder="1"/>
    <xf numFmtId="2" fontId="0" fillId="0" borderId="0" xfId="0" applyNumberFormat="1"/>
    <xf numFmtId="1" fontId="0" fillId="0" borderId="0" xfId="0" applyNumberFormat="1"/>
    <xf numFmtId="0" fontId="0" fillId="0" borderId="0" xfId="0" applyAlignment="1">
      <alignment horizontal="left"/>
    </xf>
    <xf numFmtId="0" fontId="1" fillId="2" borderId="0" xfId="0" applyFont="1" applyFill="1"/>
    <xf numFmtId="0" fontId="1" fillId="2" borderId="2" xfId="0" applyFont="1" applyFill="1" applyBorder="1"/>
    <xf numFmtId="0" fontId="1" fillId="2" borderId="4" xfId="0" applyFont="1" applyFill="1" applyBorder="1"/>
    <xf numFmtId="0" fontId="1" fillId="2" borderId="8" xfId="0" applyFont="1" applyFill="1" applyBorder="1"/>
    <xf numFmtId="0" fontId="1" fillId="2" borderId="12" xfId="0" applyFont="1" applyFill="1" applyBorder="1"/>
    <xf numFmtId="0" fontId="1" fillId="2" borderId="14" xfId="0" applyFont="1" applyFill="1" applyBorder="1"/>
    <xf numFmtId="0" fontId="1" fillId="2" borderId="15" xfId="0" applyFont="1" applyFill="1" applyBorder="1"/>
    <xf numFmtId="0" fontId="1" fillId="2" borderId="7" xfId="0" applyFont="1" applyFill="1" applyBorder="1"/>
    <xf numFmtId="0" fontId="1" fillId="2" borderId="3" xfId="0" applyFont="1" applyFill="1" applyBorder="1"/>
    <xf numFmtId="0" fontId="1" fillId="2" borderId="6" xfId="0" applyFont="1" applyFill="1" applyBorder="1"/>
    <xf numFmtId="0" fontId="1" fillId="2" borderId="9" xfId="0" applyFont="1" applyFill="1" applyBorder="1"/>
    <xf numFmtId="0" fontId="1" fillId="2" borderId="16" xfId="0" applyFont="1" applyFill="1" applyBorder="1"/>
    <xf numFmtId="0" fontId="1" fillId="2" borderId="17" xfId="0" applyFont="1" applyFill="1" applyBorder="1"/>
    <xf numFmtId="0" fontId="1" fillId="2" borderId="10" xfId="0" applyFont="1" applyFill="1" applyBorder="1"/>
    <xf numFmtId="0" fontId="1" fillId="2" borderId="1" xfId="0" applyFont="1" applyFill="1" applyBorder="1"/>
    <xf numFmtId="0" fontId="1" fillId="2" borderId="5" xfId="0" applyFont="1" applyFill="1" applyBorder="1"/>
    <xf numFmtId="0" fontId="1" fillId="0" borderId="0" xfId="0" applyFont="1" applyAlignment="1">
      <alignment horizontal="center" vertical="center"/>
    </xf>
    <xf numFmtId="0" fontId="1" fillId="2" borderId="23" xfId="0" applyFont="1" applyFill="1" applyBorder="1"/>
    <xf numFmtId="0" fontId="1" fillId="2" borderId="22" xfId="0" applyFont="1" applyFill="1" applyBorder="1" applyAlignment="1">
      <alignment horizontal="center" vertical="center"/>
    </xf>
    <xf numFmtId="0" fontId="1" fillId="2" borderId="22" xfId="0" applyFont="1" applyFill="1" applyBorder="1"/>
    <xf numFmtId="0" fontId="0" fillId="0" borderId="0" xfId="0" applyAlignment="1">
      <alignment horizontal="center"/>
    </xf>
    <xf numFmtId="0" fontId="4" fillId="3" borderId="0" xfId="0" applyFont="1" applyFill="1" applyAlignment="1">
      <alignment horizontal="center" vertical="center"/>
    </xf>
    <xf numFmtId="0" fontId="4" fillId="3" borderId="11"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1" xfId="0" applyFont="1" applyFill="1" applyBorder="1" applyAlignment="1">
      <alignment horizontal="center" vertical="center"/>
    </xf>
    <xf numFmtId="0" fontId="2" fillId="0" borderId="0" xfId="1" applyBorder="1"/>
    <xf numFmtId="1" fontId="5" fillId="3" borderId="19" xfId="0" applyNumberFormat="1" applyFont="1" applyFill="1" applyBorder="1" applyAlignment="1">
      <alignment horizontal="center" vertical="center"/>
    </xf>
    <xf numFmtId="1" fontId="5" fillId="3" borderId="20" xfId="0" applyNumberFormat="1" applyFont="1" applyFill="1" applyBorder="1" applyAlignment="1">
      <alignment horizontal="center" vertical="center"/>
    </xf>
    <xf numFmtId="1" fontId="5" fillId="3" borderId="0" xfId="0" applyNumberFormat="1" applyFont="1" applyFill="1" applyAlignment="1">
      <alignment horizontal="center" vertical="center"/>
    </xf>
    <xf numFmtId="2" fontId="5" fillId="3" borderId="0" xfId="0" applyNumberFormat="1" applyFont="1" applyFill="1" applyAlignment="1">
      <alignment horizontal="center" vertical="center"/>
    </xf>
    <xf numFmtId="0" fontId="4" fillId="3" borderId="0" xfId="0" applyFont="1" applyFill="1" applyAlignment="1">
      <alignment horizontal="center" vertical="center" wrapText="1"/>
    </xf>
    <xf numFmtId="0" fontId="5" fillId="3" borderId="0" xfId="0" applyFont="1" applyFill="1" applyAlignment="1">
      <alignment horizontal="center" vertical="center"/>
    </xf>
    <xf numFmtId="0" fontId="0" fillId="4" borderId="0" xfId="0" applyFill="1"/>
    <xf numFmtId="2" fontId="1" fillId="0" borderId="0" xfId="0" applyNumberFormat="1" applyFont="1"/>
    <xf numFmtId="49" fontId="1" fillId="0" borderId="0" xfId="0" applyNumberFormat="1" applyFont="1"/>
    <xf numFmtId="49" fontId="4" fillId="3" borderId="0" xfId="0" applyNumberFormat="1" applyFont="1" applyFill="1" applyAlignment="1">
      <alignment horizontal="center" vertical="center"/>
    </xf>
    <xf numFmtId="49" fontId="0" fillId="0" borderId="0" xfId="0" applyNumberFormat="1" applyAlignment="1">
      <alignment horizontal="center"/>
    </xf>
    <xf numFmtId="0" fontId="0" fillId="0" borderId="0" xfId="0" pivotButton="1"/>
    <xf numFmtId="164" fontId="0" fillId="4" borderId="0" xfId="0" applyNumberFormat="1" applyFill="1"/>
    <xf numFmtId="164" fontId="0" fillId="0" borderId="0" xfId="0" applyNumberFormat="1"/>
    <xf numFmtId="164" fontId="0" fillId="2" borderId="0" xfId="0" applyNumberFormat="1" applyFill="1"/>
    <xf numFmtId="1" fontId="0" fillId="4" borderId="0" xfId="0" applyNumberFormat="1" applyFill="1"/>
    <xf numFmtId="0" fontId="6" fillId="2" borderId="0" xfId="0" applyFont="1" applyFill="1"/>
    <xf numFmtId="0" fontId="9" fillId="0" borderId="0" xfId="0" applyFont="1"/>
    <xf numFmtId="0" fontId="10" fillId="2" borderId="0" xfId="0" applyFont="1" applyFill="1"/>
    <xf numFmtId="0" fontId="8" fillId="2" borderId="0" xfId="0" applyFont="1" applyFill="1"/>
    <xf numFmtId="164" fontId="0" fillId="6" borderId="0" xfId="0" applyNumberFormat="1" applyFill="1"/>
    <xf numFmtId="0" fontId="7" fillId="5" borderId="0" xfId="0" applyFont="1" applyFill="1"/>
    <xf numFmtId="0" fontId="7" fillId="5" borderId="0" xfId="0" applyFont="1" applyFill="1" applyAlignment="1">
      <alignment horizontal="left"/>
    </xf>
    <xf numFmtId="0" fontId="0" fillId="7" borderId="0" xfId="0" applyFill="1"/>
    <xf numFmtId="0" fontId="12" fillId="8" borderId="0" xfId="0" applyFont="1" applyFill="1"/>
    <xf numFmtId="0" fontId="8" fillId="8" borderId="0" xfId="0" applyFont="1" applyFill="1"/>
    <xf numFmtId="0" fontId="0" fillId="2" borderId="0" xfId="0" applyFill="1"/>
    <xf numFmtId="0" fontId="4" fillId="2" borderId="0" xfId="0" applyFont="1" applyFill="1"/>
    <xf numFmtId="0" fontId="12" fillId="9" borderId="0" xfId="0" applyFont="1" applyFill="1"/>
    <xf numFmtId="0" fontId="13" fillId="9" borderId="0" xfId="0" applyFont="1" applyFill="1"/>
    <xf numFmtId="0" fontId="8" fillId="10" borderId="0" xfId="0" applyFont="1" applyFill="1"/>
    <xf numFmtId="44" fontId="1" fillId="7" borderId="0" xfId="2" applyFont="1" applyFill="1"/>
    <xf numFmtId="173" fontId="1" fillId="7" borderId="0" xfId="2" applyNumberFormat="1" applyFont="1" applyFill="1"/>
    <xf numFmtId="0" fontId="12" fillId="10" borderId="0" xfId="0" applyFont="1" applyFill="1"/>
    <xf numFmtId="0" fontId="13" fillId="10" borderId="0" xfId="0" applyFont="1" applyFill="1"/>
    <xf numFmtId="0" fontId="4" fillId="0" borderId="0" xfId="0" applyFont="1"/>
    <xf numFmtId="14" fontId="5" fillId="3" borderId="20" xfId="0" applyNumberFormat="1" applyFont="1" applyFill="1" applyBorder="1" applyAlignment="1">
      <alignment horizontal="center" vertical="center"/>
    </xf>
    <xf numFmtId="0" fontId="0" fillId="0" borderId="0" xfId="0" applyNumberFormat="1"/>
    <xf numFmtId="164" fontId="0" fillId="6" borderId="0" xfId="0" applyNumberFormat="1" applyFont="1" applyFill="1"/>
    <xf numFmtId="0" fontId="0" fillId="4" borderId="0" xfId="0" applyNumberFormat="1" applyFill="1"/>
    <xf numFmtId="164" fontId="0" fillId="7" borderId="0" xfId="0" applyNumberFormat="1" applyFill="1"/>
  </cellXfs>
  <cellStyles count="3">
    <cellStyle name="Currency" xfId="2" builtinId="4"/>
    <cellStyle name="Hyperlink" xfId="1" builtinId="8"/>
    <cellStyle name="Normal" xfId="0" builtinId="0"/>
  </cellStyles>
  <dxfs count="58">
    <dxf>
      <font>
        <b/>
        <i val="0"/>
        <strike val="0"/>
        <condense val="0"/>
        <extend val="0"/>
        <outline val="0"/>
        <shadow val="0"/>
        <u val="none"/>
        <vertAlign val="baseline"/>
        <sz val="11"/>
        <color theme="1"/>
        <name val="Aptos Narrow"/>
        <family val="2"/>
        <scheme val="minor"/>
      </font>
      <numFmt numFmtId="19" formatCode="m/d/yyyy"/>
    </dxf>
    <dxf>
      <font>
        <b/>
        <i val="0"/>
        <strike val="0"/>
        <condense val="0"/>
        <extend val="0"/>
        <outline val="0"/>
        <shadow val="0"/>
        <u val="none"/>
        <vertAlign val="baseline"/>
        <sz val="11"/>
        <color theme="1"/>
        <name val="Aptos Narrow"/>
        <family val="2"/>
        <scheme val="minor"/>
      </font>
      <numFmt numFmtId="1" formatCode="0"/>
    </dxf>
    <dxf>
      <font>
        <b/>
        <i val="0"/>
        <strike val="0"/>
        <condense val="0"/>
        <extend val="0"/>
        <outline val="0"/>
        <shadow val="0"/>
        <u val="none"/>
        <vertAlign val="baseline"/>
        <sz val="11"/>
        <color theme="1"/>
        <name val="Aptos Narrow"/>
        <family val="2"/>
        <scheme val="minor"/>
      </font>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font>
    </dxf>
    <dxf>
      <font>
        <b/>
      </font>
    </dxf>
    <dxf>
      <fill>
        <patternFill patternType="solid">
          <bgColor theme="7" tint="-0.249977111117893"/>
        </patternFill>
      </fill>
    </dxf>
    <dxf>
      <fill>
        <patternFill>
          <bgColor theme="7" tint="0.39997558519241921"/>
        </patternFill>
      </fill>
    </dxf>
    <dxf>
      <fill>
        <patternFill>
          <bgColor theme="7" tint="0.39997558519241921"/>
        </patternFill>
      </fill>
    </dxf>
    <dxf>
      <font>
        <color theme="0"/>
      </font>
    </dxf>
    <dxf>
      <font>
        <color theme="0"/>
      </font>
    </dxf>
    <dxf>
      <fill>
        <patternFill>
          <bgColor theme="7" tint="-0.249977111117893"/>
        </patternFill>
      </fill>
    </dxf>
    <dxf>
      <fill>
        <patternFill>
          <bgColor theme="0"/>
        </patternFill>
      </fill>
    </dxf>
    <dxf>
      <font>
        <color theme="1"/>
      </font>
    </dxf>
    <dxf>
      <font>
        <color theme="1"/>
      </font>
    </dxf>
    <dxf>
      <fill>
        <patternFill patternType="solid">
          <bgColor theme="0"/>
        </patternFill>
      </fill>
    </dxf>
    <dxf>
      <fill>
        <patternFill patternType="solid">
          <bgColor theme="0"/>
        </patternFill>
      </fill>
    </dxf>
    <dxf>
      <font>
        <color theme="2"/>
      </font>
    </dxf>
    <dxf>
      <font>
        <color theme="2"/>
      </font>
    </dxf>
    <dxf>
      <numFmt numFmtId="164" formatCode="&quot;$&quot;#,##0.00"/>
    </dxf>
    <dxf>
      <numFmt numFmtId="164" formatCode="&quot;$&quot;#,##0.00"/>
    </dxf>
    <dxf>
      <numFmt numFmtId="164" formatCode="&quot;$&quot;#,##0.00"/>
    </dxf>
    <dxf>
      <numFmt numFmtId="164" formatCode="&quot;$&quot;#,##0.00"/>
    </dxf>
    <dxf>
      <fill>
        <patternFill patternType="solid">
          <bgColor theme="4" tint="0.79998168889431442"/>
        </patternFill>
      </fil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numFmt numFmtId="1" formatCode="0"/>
    </dxf>
    <dxf>
      <numFmt numFmtId="2" formatCode="0.00"/>
    </dxf>
    <dxf>
      <numFmt numFmtId="1" formatCode="0"/>
    </dxf>
    <dxf>
      <font>
        <b/>
        <i val="0"/>
        <strike val="0"/>
        <condense val="0"/>
        <extend val="0"/>
        <outline val="0"/>
        <shadow val="0"/>
        <u val="none"/>
        <vertAlign val="baseline"/>
        <sz val="11"/>
        <color theme="1"/>
        <name val="Aptos Narrow"/>
        <family val="2"/>
        <scheme val="minor"/>
      </font>
      <numFmt numFmtId="1" formatCode="0"/>
    </dxf>
    <dxf>
      <font>
        <b/>
        <i val="0"/>
        <strike val="0"/>
        <condense val="0"/>
        <extend val="0"/>
        <outline val="0"/>
        <shadow val="0"/>
        <u val="none"/>
        <vertAlign val="baseline"/>
        <sz val="11"/>
        <color theme="1"/>
        <name val="Aptos Narrow"/>
        <family val="2"/>
        <scheme val="minor"/>
      </font>
      <numFmt numFmtId="1" formatCode="0"/>
    </dxf>
    <dxf>
      <font>
        <b/>
        <i val="0"/>
        <strike val="0"/>
        <condense val="0"/>
        <extend val="0"/>
        <outline val="0"/>
        <shadow val="0"/>
        <u val="none"/>
        <vertAlign val="baseline"/>
        <sz val="11"/>
        <color theme="1"/>
        <name val="Aptos Narrow"/>
        <family val="2"/>
        <scheme val="minor"/>
      </font>
    </dxf>
    <dxf>
      <font>
        <b/>
        <strike val="0"/>
        <outline val="0"/>
        <shadow val="0"/>
        <u val="none"/>
        <vertAlign val="baseline"/>
        <sz val="14"/>
        <color theme="1" tint="4.9989318521683403E-2"/>
        <name val="Aptos Narrow"/>
        <family val="2"/>
        <scheme val="minor"/>
      </font>
      <fill>
        <patternFill patternType="solid">
          <fgColor indexed="64"/>
          <bgColor theme="3" tint="0.499984740745262"/>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outline="0">
        <left/>
        <right style="double">
          <color indexed="64"/>
        </right>
        <top style="double">
          <color indexed="64"/>
        </top>
        <bottom style="double">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right style="thin">
          <color indexed="64"/>
        </right>
      </border>
    </dxf>
    <dxf>
      <fill>
        <patternFill patternType="solid">
          <fgColor indexed="64"/>
          <bgColor theme="0"/>
        </patternFill>
      </fill>
    </dxf>
    <dxf>
      <font>
        <b/>
        <strike val="0"/>
        <outline val="0"/>
        <shadow val="0"/>
        <u val="none"/>
        <vertAlign val="baseline"/>
        <sz val="14"/>
        <color theme="1"/>
        <name val="Aptos Narrow"/>
        <family val="2"/>
        <scheme val="minor"/>
      </font>
      <fill>
        <patternFill patternType="solid">
          <fgColor indexed="64"/>
          <bgColor theme="3" tint="0.499984740745262"/>
        </patternFill>
      </fill>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font>
        <b/>
        <i val="0"/>
        <strike val="0"/>
        <condense val="0"/>
        <extend val="0"/>
        <outline val="0"/>
        <shadow val="0"/>
        <u val="none"/>
        <vertAlign val="baseline"/>
        <sz val="14"/>
        <color theme="1"/>
        <name val="Aptos Narrow"/>
        <family val="2"/>
        <scheme val="minor"/>
      </font>
      <fill>
        <patternFill patternType="solid">
          <fgColor indexed="64"/>
          <bgColor theme="3" tint="0.499984740745262"/>
        </patternFill>
      </fill>
      <alignment horizontal="center" vertical="center" textRotation="0" wrapText="0" indent="0" justifyLastLine="0" shrinkToFit="0" readingOrder="0"/>
    </dxf>
    <dxf>
      <font>
        <b/>
        <i val="0"/>
      </font>
      <fill>
        <patternFill>
          <bgColor theme="7" tint="-0.24994659260841701"/>
        </patternFill>
      </fill>
    </dxf>
    <dxf>
      <fill>
        <patternFill>
          <bgColor theme="0" tint="-0.14996795556505021"/>
        </patternFill>
      </fill>
    </dxf>
    <dxf>
      <fill>
        <patternFill>
          <bgColor theme="2" tint="-9.9948118533890809E-2"/>
        </patternFill>
      </fill>
    </dxf>
  </dxfs>
  <tableStyles count="2" defaultTableStyle="TableStyleMedium2" defaultPivotStyle="PivotStyleLight16">
    <tableStyle name="Slicer Style 1" pivot="0" table="0" count="1" xr9:uid="{2E52381C-7CA0-4AEB-83C0-C4A980381836}">
      <tableStyleElement type="wholeTable" dxfId="57"/>
    </tableStyle>
    <tableStyle name="Slicer Style 2" pivot="0" table="0" count="5" xr9:uid="{5E0BDAF4-7998-425B-89A4-CA5837B1E3C9}">
      <tableStyleElement type="wholeTable" dxfId="56"/>
      <tableStyleElement type="headerRow" dxfId="55"/>
    </tableStyle>
  </tableStyles>
  <colors>
    <mruColors>
      <color rgb="FFD9D9D9"/>
    </mruColors>
  </colors>
  <extLst>
    <ext xmlns:x14="http://schemas.microsoft.com/office/spreadsheetml/2009/9/main" uri="{46F421CA-312F-682f-3DD2-61675219B42D}">
      <x14:dxfs count="3">
        <dxf>
          <fill>
            <patternFill>
              <bgColor theme="5" tint="-0.24994659260841701"/>
            </patternFill>
          </fill>
        </dxf>
        <dxf>
          <fill>
            <patternFill>
              <bgColor theme="4" tint="0.39994506668294322"/>
            </patternFill>
          </fill>
        </dxf>
        <dxf>
          <font>
            <b/>
            <i val="0"/>
            <sz val="11"/>
          </font>
          <fill>
            <patternFill>
              <bgColor theme="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b="1"/>
              <a:t>Top 10 Products by Sales Value</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US"/>
          </a:p>
        </c:rich>
      </c:tx>
      <c:layout>
        <c:manualLayout>
          <c:xMode val="edge"/>
          <c:yMode val="edge"/>
          <c:x val="0.33153002061183029"/>
          <c:y val="1.869158878504672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607960021946399"/>
          <c:y val="0.15817769274167831"/>
          <c:w val="0.36489263225260848"/>
          <c:h val="0.71175585627815496"/>
        </c:manualLayout>
      </c:layout>
      <c:barChart>
        <c:barDir val="bar"/>
        <c:grouping val="clustered"/>
        <c:varyColors val="0"/>
        <c:dLbls>
          <c:dLblPos val="inEnd"/>
          <c:showLegendKey val="0"/>
          <c:showVal val="1"/>
          <c:showCatName val="0"/>
          <c:showSerName val="0"/>
          <c:showPercent val="0"/>
          <c:showBubbleSize val="0"/>
        </c:dLbls>
        <c:gapWidth val="65"/>
        <c:axId val="1866718256"/>
        <c:axId val="1866717296"/>
      </c:barChart>
      <c:catAx>
        <c:axId val="18667182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6717296"/>
        <c:crosses val="autoZero"/>
        <c:auto val="1"/>
        <c:lblAlgn val="ctr"/>
        <c:lblOffset val="100"/>
        <c:noMultiLvlLbl val="0"/>
      </c:catAx>
      <c:valAx>
        <c:axId val="1866717296"/>
        <c:scaling>
          <c:orientation val="minMax"/>
        </c:scaling>
        <c:delete val="1"/>
        <c:axPos val="b"/>
        <c:numFmt formatCode="General" sourceLinked="1"/>
        <c:majorTickMark val="none"/>
        <c:minorTickMark val="none"/>
        <c:tickLblPos val="nextTo"/>
        <c:crossAx val="18667182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b="1"/>
              <a:t>Monthly Sales Performance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953423194982"/>
          <c:y val="0.2080219997625925"/>
          <c:w val="0.36489263225260848"/>
          <c:h val="0.71175585627815496"/>
        </c:manualLayout>
      </c:layout>
      <c:barChart>
        <c:barDir val="bar"/>
        <c:grouping val="clustered"/>
        <c:varyColors val="0"/>
        <c:dLbls>
          <c:dLblPos val="inEnd"/>
          <c:showLegendKey val="0"/>
          <c:showVal val="1"/>
          <c:showCatName val="0"/>
          <c:showSerName val="0"/>
          <c:showPercent val="0"/>
          <c:showBubbleSize val="0"/>
        </c:dLbls>
        <c:gapWidth val="65"/>
        <c:axId val="1866718256"/>
        <c:axId val="1866717296"/>
      </c:barChart>
      <c:catAx>
        <c:axId val="18667182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6717296"/>
        <c:crosses val="autoZero"/>
        <c:auto val="1"/>
        <c:lblAlgn val="ctr"/>
        <c:lblOffset val="100"/>
        <c:noMultiLvlLbl val="0"/>
      </c:catAx>
      <c:valAx>
        <c:axId val="1866717296"/>
        <c:scaling>
          <c:orientation val="minMax"/>
        </c:scaling>
        <c:delete val="1"/>
        <c:axPos val="b"/>
        <c:numFmt formatCode="General" sourceLinked="1"/>
        <c:majorTickMark val="none"/>
        <c:minorTickMark val="none"/>
        <c:tickLblPos val="nextTo"/>
        <c:crossAx val="1866718256"/>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baseline="0"/>
              <a:t>Sales by City</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953423194982"/>
          <c:y val="0.2080219997625925"/>
          <c:w val="0.36489263225260848"/>
          <c:h val="0.71175585627815496"/>
        </c:manualLayout>
      </c:layout>
      <c:barChart>
        <c:barDir val="bar"/>
        <c:grouping val="clustered"/>
        <c:varyColors val="0"/>
        <c:dLbls>
          <c:dLblPos val="inEnd"/>
          <c:showLegendKey val="0"/>
          <c:showVal val="1"/>
          <c:showCatName val="0"/>
          <c:showSerName val="0"/>
          <c:showPercent val="0"/>
          <c:showBubbleSize val="0"/>
        </c:dLbls>
        <c:gapWidth val="65"/>
        <c:axId val="1866718256"/>
        <c:axId val="1866717296"/>
      </c:barChart>
      <c:catAx>
        <c:axId val="18667182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6717296"/>
        <c:crosses val="autoZero"/>
        <c:auto val="1"/>
        <c:lblAlgn val="ctr"/>
        <c:lblOffset val="100"/>
        <c:noMultiLvlLbl val="0"/>
      </c:catAx>
      <c:valAx>
        <c:axId val="1866717296"/>
        <c:scaling>
          <c:orientation val="minMax"/>
        </c:scaling>
        <c:delete val="1"/>
        <c:axPos val="b"/>
        <c:numFmt formatCode="General" sourceLinked="1"/>
        <c:majorTickMark val="none"/>
        <c:minorTickMark val="none"/>
        <c:tickLblPos val="nextTo"/>
        <c:crossAx val="1866718256"/>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pivotFmt>
      <c:pivotFmt>
        <c:idx val="1"/>
      </c:pivotFmt>
      <c:pivotFmt>
        <c:idx val="2"/>
      </c:pivotFmt>
      <c:pivotFmt>
        <c:idx val="3"/>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671812647891588"/>
          <c:y val="8.3022018081073193E-2"/>
          <c:w val="0.36489263225260848"/>
          <c:h val="0.50662154626309508"/>
        </c:manualLayout>
      </c:layout>
      <c:barChart>
        <c:barDir val="bar"/>
        <c:grouping val="clustered"/>
        <c:varyColors val="0"/>
        <c:dLbls>
          <c:dLblPos val="inEnd"/>
          <c:showLegendKey val="0"/>
          <c:showVal val="1"/>
          <c:showCatName val="0"/>
          <c:showSerName val="0"/>
          <c:showPercent val="0"/>
          <c:showBubbleSize val="0"/>
        </c:dLbls>
        <c:gapWidth val="65"/>
        <c:axId val="1866718256"/>
        <c:axId val="1866717296"/>
      </c:barChart>
      <c:catAx>
        <c:axId val="18667182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6717296"/>
        <c:crosses val="autoZero"/>
        <c:auto val="1"/>
        <c:lblAlgn val="ctr"/>
        <c:lblOffset val="100"/>
        <c:noMultiLvlLbl val="0"/>
      </c:catAx>
      <c:valAx>
        <c:axId val="1866717296"/>
        <c:scaling>
          <c:orientation val="minMax"/>
        </c:scaling>
        <c:delete val="1"/>
        <c:axPos val="b"/>
        <c:numFmt formatCode="General" sourceLinked="1"/>
        <c:majorTickMark val="none"/>
        <c:minorTickMark val="none"/>
        <c:tickLblPos val="nextTo"/>
        <c:crossAx val="1866718256"/>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[مشروعي4.xlsx]Calculations!PivotTable3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Top 10 Products</a:t>
            </a:r>
            <a:endParaRPr lang="en-US"/>
          </a:p>
        </c:rich>
      </c:tx>
      <c:layout>
        <c:manualLayout>
          <c:xMode val="edge"/>
          <c:yMode val="edge"/>
          <c:x val="0.44182633420822398"/>
          <c:y val="5.09259259259259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979829309683866"/>
          <c:y val="0.20091171053227416"/>
          <c:w val="0.49308644546962077"/>
          <c:h val="0.75233201519910253"/>
        </c:manualLayout>
      </c:layout>
      <c:barChart>
        <c:barDir val="bar"/>
        <c:grouping val="clustered"/>
        <c:varyColors val="0"/>
        <c:ser>
          <c:idx val="0"/>
          <c:order val="0"/>
          <c:tx>
            <c:strRef>
              <c:f>Calculations!$H$1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Calculations!$G$2:$G$12</c:f>
              <c:strCache>
                <c:ptCount val="10"/>
                <c:pt idx="0">
                  <c:v>AMD Ryzen 9 7900x CPU</c:v>
                </c:pt>
                <c:pt idx="1">
                  <c:v>Dell UltraSharp U2723QE Monitor</c:v>
                </c:pt>
                <c:pt idx="2">
                  <c:v>ASUS TUF Gaming VG27AQ 165Hz</c:v>
                </c:pt>
                <c:pt idx="3">
                  <c:v>Sapphire Nitro+ RX 7900 XTX</c:v>
                </c:pt>
                <c:pt idx="4">
                  <c:v>Intel Core i9-13900 CPU</c:v>
                </c:pt>
                <c:pt idx="5">
                  <c:v>Intel Core Ultra 7 265KF Tray CPU</c:v>
                </c:pt>
                <c:pt idx="6">
                  <c:v>MSI RTX 4070 Ti Super Gaming X</c:v>
                </c:pt>
                <c:pt idx="7">
                  <c:v>Sapphire PULSE AMD Radeon RX 9070 XT 16GB GPU</c:v>
                </c:pt>
                <c:pt idx="8">
                  <c:v>AMD Ryzen 9 9950X3D CPU</c:v>
                </c:pt>
                <c:pt idx="9">
                  <c:v>Palit GeForce RTX 5060 Infinity</c:v>
                </c:pt>
              </c:strCache>
            </c:strRef>
          </c:cat>
          <c:val>
            <c:numRef>
              <c:f>Calculations!$H$2:$H$12</c:f>
              <c:numCache>
                <c:formatCode>"$"#,##0.00</c:formatCode>
                <c:ptCount val="10"/>
                <c:pt idx="0">
                  <c:v>20749.090909090915</c:v>
                </c:pt>
                <c:pt idx="1">
                  <c:v>20800</c:v>
                </c:pt>
                <c:pt idx="2">
                  <c:v>22800</c:v>
                </c:pt>
                <c:pt idx="3">
                  <c:v>23800</c:v>
                </c:pt>
                <c:pt idx="4">
                  <c:v>24000</c:v>
                </c:pt>
                <c:pt idx="5">
                  <c:v>24000</c:v>
                </c:pt>
                <c:pt idx="6">
                  <c:v>29250</c:v>
                </c:pt>
                <c:pt idx="7">
                  <c:v>33000</c:v>
                </c:pt>
                <c:pt idx="8">
                  <c:v>36300</c:v>
                </c:pt>
                <c:pt idx="9">
                  <c:v>39600</c:v>
                </c:pt>
              </c:numCache>
            </c:numRef>
          </c:val>
          <c:extLst>
            <c:ext xmlns:c16="http://schemas.microsoft.com/office/drawing/2014/chart" uri="{C3380CC4-5D6E-409C-BE32-E72D297353CC}">
              <c16:uniqueId val="{0000000A-FE71-418C-B217-3E48745891C1}"/>
            </c:ext>
          </c:extLst>
        </c:ser>
        <c:dLbls>
          <c:dLblPos val="inEnd"/>
          <c:showLegendKey val="0"/>
          <c:showVal val="1"/>
          <c:showCatName val="0"/>
          <c:showSerName val="0"/>
          <c:showPercent val="0"/>
          <c:showBubbleSize val="0"/>
        </c:dLbls>
        <c:gapWidth val="65"/>
        <c:axId val="2120760671"/>
        <c:axId val="2120761631"/>
      </c:barChart>
      <c:catAx>
        <c:axId val="21207606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0761631"/>
        <c:crosses val="autoZero"/>
        <c:auto val="1"/>
        <c:lblAlgn val="ctr"/>
        <c:lblOffset val="100"/>
        <c:noMultiLvlLbl val="0"/>
      </c:catAx>
      <c:valAx>
        <c:axId val="2120761631"/>
        <c:scaling>
          <c:orientation val="minMax"/>
        </c:scaling>
        <c:delete val="1"/>
        <c:axPos val="b"/>
        <c:numFmt formatCode="&quot;$&quot;#,##0.00" sourceLinked="1"/>
        <c:majorTickMark val="none"/>
        <c:minorTickMark val="none"/>
        <c:tickLblPos val="nextTo"/>
        <c:crossAx val="2120760671"/>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[مشروعي4.xlsx]Calculations!PivotTable13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Monthly Sales Performance</a:t>
            </a:r>
            <a:endParaRPr lang="ar-SA" sz="1800" b="1" i="0" u="none" strike="noStrike" baseline="0"/>
          </a:p>
          <a:p>
            <a:pPr>
              <a:defRPr/>
            </a:pPr>
            <a:endParaRPr lang="en-US"/>
          </a:p>
        </c:rich>
      </c:tx>
      <c:layout>
        <c:manualLayout>
          <c:xMode val="edge"/>
          <c:yMode val="edge"/>
          <c:x val="9.4974416704347212E-2"/>
          <c:y val="1.36143938973838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S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effectLst>
                    <a:outerShdw blurRad="50800" dist="38100" dir="2700000" algn="tl" rotWithShape="0">
                      <a:prstClr val="black">
                        <a:alpha val="40000"/>
                      </a:prst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olidFill>
            <a:ln>
              <a:noFill/>
            </a:ln>
            <a:effectLst/>
          </c:spPr>
        </c:marker>
        <c:dLbl>
          <c:idx val="0"/>
          <c:layout>
            <c:manualLayout>
              <c:x val="-9.0020993701889429E-2"/>
              <c:y val="-9.351236445742656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fld id="{8FD2C1FF-7769-4130-B963-E53D7D3534D0}" type="VALUE">
                  <a:rPr lang="en-US" sz="1050" b="0">
                    <a:solidFill>
                      <a:schemeClr val="tx2"/>
                    </a:solidFill>
                  </a:rPr>
                  <a:pPr>
                    <a:defRPr b="0">
                      <a:solidFill>
                        <a:schemeClr val="tx2"/>
                      </a:solidFill>
                      <a:effectLst>
                        <a:outerShdw blurRad="50800" dist="38100" dir="2700000" algn="tl" rotWithShape="0">
                          <a:prstClr val="black">
                            <a:alpha val="40000"/>
                          </a:prstClr>
                        </a:outerShdw>
                      </a:effectLst>
                    </a:defRPr>
                  </a:pPr>
                  <a:t>[VALUE]</a:t>
                </a:fld>
                <a:endParaRPr lang="en-US"/>
              </a:p>
            </c:rich>
          </c:tx>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245626312106368"/>
                  <c:h val="0.11214510791311283"/>
                </c:manualLayout>
              </c15:layout>
              <c15:dlblFieldTable/>
              <c15:showDataLabelsRange val="0"/>
            </c:ext>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layout>
            <c:manualLayout>
              <c:x val="-8.2239328201539535E-2"/>
              <c:y val="-7.948566625665955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1"/>
            </a:solidFill>
            <a:ln>
              <a:noFill/>
            </a:ln>
            <a:effectLst/>
          </c:spPr>
        </c:marker>
        <c:dLbl>
          <c:idx val="0"/>
          <c:layout>
            <c:manualLayout>
              <c:x val="-0.1110146955913226"/>
              <c:y val="-0.1168906856715582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effectLst>
                      <a:outerShdw blurRad="50800" dist="38100" dir="2700000" algn="tl" rotWithShape="0">
                        <a:prstClr val="black">
                          <a:alpha val="40000"/>
                        </a:prstClr>
                      </a:outerShdw>
                    </a:effectLst>
                    <a:latin typeface="+mn-lt"/>
                    <a:ea typeface="+mn-ea"/>
                    <a:cs typeface="+mn-cs"/>
                  </a:defRPr>
                </a:pPr>
                <a:fld id="{2C47A4C4-85DE-4AC4-8E2F-1D6EC016B7E3}" type="VALUE">
                  <a:rPr lang="en-US">
                    <a:solidFill>
                      <a:schemeClr val="tx2"/>
                    </a:solidFill>
                  </a:rPr>
                  <a:pPr>
                    <a:defRPr b="0">
                      <a:effectLst>
                        <a:outerShdw blurRad="50800" dist="38100" dir="2700000" algn="tl" rotWithShape="0">
                          <a:prstClr val="black">
                            <a:alpha val="40000"/>
                          </a:prstClr>
                        </a:outerShdw>
                      </a:effectLst>
                    </a:defRPr>
                  </a:pPr>
                  <a:t>[VALUE]</a:t>
                </a:fld>
                <a:endParaRPr lang="en-US"/>
              </a:p>
            </c:rich>
          </c:tx>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effectLst>
                    <a:outerShdw blurRad="50800" dist="38100" dir="2700000" algn="tl"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layout>
            <c:manualLayout>
              <c:x val="-9.1420573827851639E-2"/>
              <c:y val="-8.8836921110384243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581473768929536E-2"/>
          <c:y val="0.2097980730583146"/>
          <c:w val="0.93841847445766269"/>
          <c:h val="0.69567151029760921"/>
        </c:manualLayout>
      </c:layout>
      <c:lineChart>
        <c:grouping val="standard"/>
        <c:varyColors val="0"/>
        <c:ser>
          <c:idx val="0"/>
          <c:order val="0"/>
          <c:tx>
            <c:strRef>
              <c:f>Calculations!$L$1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Pt>
            <c:idx val="0"/>
            <c:marker>
              <c:symbol val="circle"/>
              <c:size val="17"/>
              <c:spPr>
                <a:solidFill>
                  <a:schemeClr val="accent1"/>
                </a:solidFill>
                <a:ln>
                  <a:noFill/>
                </a:ln>
                <a:effectLst/>
              </c:spPr>
            </c:marker>
            <c:bubble3D val="0"/>
            <c:extLst>
              <c:ext xmlns:c16="http://schemas.microsoft.com/office/drawing/2014/chart" uri="{C3380CC4-5D6E-409C-BE32-E72D297353CC}">
                <c16:uniqueId val="{00000002-AC60-47AE-AC86-9247CAF98FD4}"/>
              </c:ext>
            </c:extLst>
          </c:dPt>
          <c:dPt>
            <c:idx val="1"/>
            <c:marker>
              <c:symbol val="circle"/>
              <c:size val="17"/>
              <c:spPr>
                <a:solidFill>
                  <a:schemeClr val="accent1"/>
                </a:solidFill>
                <a:ln>
                  <a:noFill/>
                </a:ln>
                <a:effectLst/>
              </c:spPr>
            </c:marker>
            <c:bubble3D val="0"/>
            <c:extLst>
              <c:ext xmlns:c16="http://schemas.microsoft.com/office/drawing/2014/chart" uri="{C3380CC4-5D6E-409C-BE32-E72D297353CC}">
                <c16:uniqueId val="{00000001-AC60-47AE-AC86-9247CAF98FD4}"/>
              </c:ext>
            </c:extLst>
          </c:dPt>
          <c:dPt>
            <c:idx val="2"/>
            <c:marker>
              <c:symbol val="circle"/>
              <c:size val="17"/>
              <c:spPr>
                <a:solidFill>
                  <a:schemeClr val="accent1"/>
                </a:solidFill>
                <a:ln>
                  <a:noFill/>
                </a:ln>
                <a:effectLst/>
              </c:spPr>
            </c:marker>
            <c:bubble3D val="0"/>
            <c:extLst>
              <c:ext xmlns:c16="http://schemas.microsoft.com/office/drawing/2014/chart" uri="{C3380CC4-5D6E-409C-BE32-E72D297353CC}">
                <c16:uniqueId val="{00000003-AC60-47AE-AC86-9247CAF98FD4}"/>
              </c:ext>
            </c:extLst>
          </c:dPt>
          <c:dPt>
            <c:idx val="3"/>
            <c:marker>
              <c:symbol val="circle"/>
              <c:size val="17"/>
              <c:spPr>
                <a:solidFill>
                  <a:schemeClr val="accent1"/>
                </a:solidFill>
                <a:ln>
                  <a:noFill/>
                </a:ln>
                <a:effectLst/>
              </c:spPr>
            </c:marker>
            <c:bubble3D val="0"/>
            <c:extLst>
              <c:ext xmlns:c16="http://schemas.microsoft.com/office/drawing/2014/chart" uri="{C3380CC4-5D6E-409C-BE32-E72D297353CC}">
                <c16:uniqueId val="{00000004-AC60-47AE-AC86-9247CAF98FD4}"/>
              </c:ext>
            </c:extLst>
          </c:dPt>
          <c:dLbls>
            <c:dLbl>
              <c:idx val="0"/>
              <c:layout>
                <c:manualLayout>
                  <c:x val="-8.2239328201539535E-2"/>
                  <c:y val="-7.948566625665955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60-47AE-AC86-9247CAF98FD4}"/>
                </c:ext>
              </c:extLst>
            </c:dLbl>
            <c:dLbl>
              <c:idx val="1"/>
              <c:layout>
                <c:manualLayout>
                  <c:x val="-9.0020993701889429E-2"/>
                  <c:y val="-9.351236445742656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fld id="{8FD2C1FF-7769-4130-B963-E53D7D3534D0}" type="VALUE">
                      <a:rPr lang="en-US" sz="1050" b="0">
                        <a:solidFill>
                          <a:schemeClr val="tx2"/>
                        </a:solidFill>
                      </a:rPr>
                      <a:pPr>
                        <a:defRPr b="0">
                          <a:solidFill>
                            <a:schemeClr val="tx2"/>
                          </a:solidFill>
                          <a:effectLst>
                            <a:outerShdw blurRad="50800" dist="38100" dir="2700000" algn="tl" rotWithShape="0">
                              <a:prstClr val="black">
                                <a:alpha val="40000"/>
                              </a:prstClr>
                            </a:outerShdw>
                          </a:effectLst>
                        </a:defRPr>
                      </a:pPr>
                      <a:t>[VALUE]</a:t>
                    </a:fld>
                    <a:endParaRPr lang="en-US"/>
                  </a:p>
                </c:rich>
              </c:tx>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245626312106368"/>
                      <c:h val="0.11214510791311283"/>
                    </c:manualLayout>
                  </c15:layout>
                  <c15:dlblFieldTable/>
                  <c15:showDataLabelsRange val="0"/>
                </c:ext>
                <c:ext xmlns:c16="http://schemas.microsoft.com/office/drawing/2014/chart" uri="{C3380CC4-5D6E-409C-BE32-E72D297353CC}">
                  <c16:uniqueId val="{00000001-AC60-47AE-AC86-9247CAF98FD4}"/>
                </c:ext>
              </c:extLst>
            </c:dLbl>
            <c:dLbl>
              <c:idx val="2"/>
              <c:layout>
                <c:manualLayout>
                  <c:x val="-0.1110146955913226"/>
                  <c:y val="-0.11689068567155825"/>
                </c:manualLayout>
              </c:layout>
              <c:tx>
                <c:rich>
                  <a:bodyPr/>
                  <a:lstStyle/>
                  <a:p>
                    <a:fld id="{2C47A4C4-85DE-4AC4-8E2F-1D6EC016B7E3}" type="VALUE">
                      <a:rPr lang="en-US">
                        <a:solidFill>
                          <a:schemeClr val="tx2"/>
                        </a:solidFill>
                      </a:rPr>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C60-47AE-AC86-9247CAF98FD4}"/>
                </c:ext>
              </c:extLst>
            </c:dLbl>
            <c:dLbl>
              <c:idx val="3"/>
              <c:layout>
                <c:manualLayout>
                  <c:x val="-9.1420573827851639E-2"/>
                  <c:y val="-8.8836921110384243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60-47AE-AC86-9247CAF98FD4}"/>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effectLst>
                      <a:outerShdw blurRad="50800" dist="38100" dir="2700000" algn="tl" rotWithShape="0">
                        <a:prstClr val="black">
                          <a:alpha val="40000"/>
                        </a:prst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Calculations!$K$2:$K$6</c:f>
              <c:strCache>
                <c:ptCount val="4"/>
                <c:pt idx="0">
                  <c:v>Sep</c:v>
                </c:pt>
                <c:pt idx="1">
                  <c:v>Oct</c:v>
                </c:pt>
                <c:pt idx="2">
                  <c:v>Nov</c:v>
                </c:pt>
                <c:pt idx="3">
                  <c:v>Dec</c:v>
                </c:pt>
              </c:strCache>
            </c:strRef>
          </c:cat>
          <c:val>
            <c:numRef>
              <c:f>Calculations!$L$2:$L$6</c:f>
              <c:numCache>
                <c:formatCode>"$"#,##0.00</c:formatCode>
                <c:ptCount val="4"/>
                <c:pt idx="0">
                  <c:v>50624</c:v>
                </c:pt>
                <c:pt idx="1">
                  <c:v>119144</c:v>
                </c:pt>
                <c:pt idx="2">
                  <c:v>147332</c:v>
                </c:pt>
                <c:pt idx="3">
                  <c:v>305358.24242424243</c:v>
                </c:pt>
              </c:numCache>
            </c:numRef>
          </c:val>
          <c:smooth val="0"/>
          <c:extLst>
            <c:ext xmlns:c16="http://schemas.microsoft.com/office/drawing/2014/chart" uri="{C3380CC4-5D6E-409C-BE32-E72D297353CC}">
              <c16:uniqueId val="{00000000-AC60-47AE-AC86-9247CAF98FD4}"/>
            </c:ext>
          </c:extLst>
        </c:ser>
        <c:dLbls>
          <c:dLblPos val="ctr"/>
          <c:showLegendKey val="0"/>
          <c:showVal val="1"/>
          <c:showCatName val="0"/>
          <c:showSerName val="0"/>
          <c:showPercent val="0"/>
          <c:showBubbleSize val="0"/>
        </c:dLbls>
        <c:marker val="1"/>
        <c:smooth val="0"/>
        <c:axId val="2023049231"/>
        <c:axId val="1790735408"/>
      </c:lineChart>
      <c:catAx>
        <c:axId val="20230492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0735408"/>
        <c:crosses val="autoZero"/>
        <c:auto val="1"/>
        <c:lblAlgn val="ctr"/>
        <c:lblOffset val="100"/>
        <c:noMultiLvlLbl val="0"/>
      </c:catAx>
      <c:valAx>
        <c:axId val="1790735408"/>
        <c:scaling>
          <c:orientation val="minMax"/>
        </c:scaling>
        <c:delete val="1"/>
        <c:axPos val="l"/>
        <c:numFmt formatCode="&quot;$&quot;#,##0.00" sourceLinked="1"/>
        <c:majorTickMark val="none"/>
        <c:minorTickMark val="none"/>
        <c:tickLblPos val="nextTo"/>
        <c:crossAx val="202304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[مشروعي4.xlsx]Calculations!PivotTable11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Sales by Product</a:t>
            </a:r>
          </a:p>
          <a:p>
            <a:pPr>
              <a:defRPr/>
            </a:pPr>
            <a:endParaRPr lang="en-US"/>
          </a:p>
        </c:rich>
      </c:tx>
      <c:layout>
        <c:manualLayout>
          <c:xMode val="edge"/>
          <c:yMode val="edge"/>
          <c:x val="0.44270280670036283"/>
          <c:y val="7.38372508394656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layout>
            <c:manualLayout>
              <c:x val="-2.6229508196721311E-3"/>
              <c:y val="-5.61403632856168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79843075555723"/>
          <c:y val="0.35701348326025545"/>
          <c:w val="0.79325739707687548"/>
          <c:h val="0.60031983215531004"/>
        </c:manualLayout>
      </c:layout>
      <c:barChart>
        <c:barDir val="bar"/>
        <c:grouping val="clustered"/>
        <c:varyColors val="0"/>
        <c:ser>
          <c:idx val="0"/>
          <c:order val="0"/>
          <c:tx>
            <c:strRef>
              <c:f>Calculations!$N$1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9"/>
            <c:invertIfNegative val="0"/>
            <c:bubble3D val="0"/>
            <c:extLst>
              <c:ext xmlns:c16="http://schemas.microsoft.com/office/drawing/2014/chart" uri="{C3380CC4-5D6E-409C-BE32-E72D297353CC}">
                <c16:uniqueId val="{00000000-DBE4-4CFD-ABA1-E767503A35B6}"/>
              </c:ext>
            </c:extLst>
          </c:dPt>
          <c:dLbls>
            <c:dLbl>
              <c:idx val="9"/>
              <c:layout>
                <c:manualLayout>
                  <c:x val="-2.6229508196721311E-3"/>
                  <c:y val="-5.61403632856168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E4-4CFD-ABA1-E767503A35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Calculations!$M$2:$M$12</c:f>
              <c:strCache>
                <c:ptCount val="10"/>
                <c:pt idx="0">
                  <c:v>Motherboard</c:v>
                </c:pt>
                <c:pt idx="1">
                  <c:v>RAM</c:v>
                </c:pt>
                <c:pt idx="2">
                  <c:v>Kayboard</c:v>
                </c:pt>
                <c:pt idx="3">
                  <c:v>Consle</c:v>
                </c:pt>
                <c:pt idx="4">
                  <c:v>Mouse</c:v>
                </c:pt>
                <c:pt idx="5">
                  <c:v>Gaming Headset</c:v>
                </c:pt>
                <c:pt idx="6">
                  <c:v>Monitor</c:v>
                </c:pt>
                <c:pt idx="7">
                  <c:v>Storage</c:v>
                </c:pt>
                <c:pt idx="8">
                  <c:v>GPU</c:v>
                </c:pt>
                <c:pt idx="9">
                  <c:v>CPU</c:v>
                </c:pt>
              </c:strCache>
            </c:strRef>
          </c:cat>
          <c:val>
            <c:numRef>
              <c:f>Calculations!$N$2:$N$12</c:f>
              <c:numCache>
                <c:formatCode>"$"#,##0.00</c:formatCode>
                <c:ptCount val="10"/>
                <c:pt idx="0">
                  <c:v>3900</c:v>
                </c:pt>
                <c:pt idx="1">
                  <c:v>17700</c:v>
                </c:pt>
                <c:pt idx="2">
                  <c:v>26300</c:v>
                </c:pt>
                <c:pt idx="3">
                  <c:v>30300</c:v>
                </c:pt>
                <c:pt idx="4">
                  <c:v>32550</c:v>
                </c:pt>
                <c:pt idx="5">
                  <c:v>59300</c:v>
                </c:pt>
                <c:pt idx="6">
                  <c:v>68938.181818181809</c:v>
                </c:pt>
                <c:pt idx="7">
                  <c:v>72276.969696969696</c:v>
                </c:pt>
                <c:pt idx="8">
                  <c:v>147344</c:v>
                </c:pt>
                <c:pt idx="9">
                  <c:v>163849.09090909091</c:v>
                </c:pt>
              </c:numCache>
            </c:numRef>
          </c:val>
          <c:extLst>
            <c:ext xmlns:c16="http://schemas.microsoft.com/office/drawing/2014/chart" uri="{C3380CC4-5D6E-409C-BE32-E72D297353CC}">
              <c16:uniqueId val="{0000000C-03E0-4B29-9752-05D061D110E8}"/>
            </c:ext>
          </c:extLst>
        </c:ser>
        <c:dLbls>
          <c:dLblPos val="inEnd"/>
          <c:showLegendKey val="0"/>
          <c:showVal val="1"/>
          <c:showCatName val="0"/>
          <c:showSerName val="0"/>
          <c:showPercent val="0"/>
          <c:showBubbleSize val="0"/>
        </c:dLbls>
        <c:gapWidth val="65"/>
        <c:axId val="99173824"/>
        <c:axId val="99176704"/>
      </c:barChart>
      <c:catAx>
        <c:axId val="99173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176704"/>
        <c:crosses val="autoZero"/>
        <c:auto val="1"/>
        <c:lblAlgn val="ctr"/>
        <c:lblOffset val="100"/>
        <c:noMultiLvlLbl val="0"/>
      </c:catAx>
      <c:valAx>
        <c:axId val="99176704"/>
        <c:scaling>
          <c:orientation val="minMax"/>
        </c:scaling>
        <c:delete val="1"/>
        <c:axPos val="b"/>
        <c:numFmt formatCode="&quot;$&quot;#,##0.00" sourceLinked="1"/>
        <c:majorTickMark val="none"/>
        <c:minorTickMark val="none"/>
        <c:tickLblPos val="nextTo"/>
        <c:crossAx val="9917382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[مشروعي4.xlsx]Calculations!PivotTable14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Regional Sales</a:t>
            </a:r>
          </a:p>
          <a:p>
            <a:pPr>
              <a:defRPr/>
            </a:pPr>
            <a:endParaRPr lang="en-US"/>
          </a:p>
        </c:rich>
      </c:tx>
      <c:layout>
        <c:manualLayout>
          <c:xMode val="edge"/>
          <c:yMode val="edge"/>
          <c:x val="0.13646027794662144"/>
          <c:y val="1.723924677245128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301701910214201E-2"/>
          <c:y val="0.3213570129126444"/>
          <c:w val="0.89099188924260442"/>
          <c:h val="0.62335792074329721"/>
        </c:manualLayout>
      </c:layout>
      <c:barChart>
        <c:barDir val="bar"/>
        <c:grouping val="clustered"/>
        <c:varyColors val="0"/>
        <c:ser>
          <c:idx val="0"/>
          <c:order val="0"/>
          <c:tx>
            <c:strRef>
              <c:f>Calculations!$P$1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Calculations!$O$2:$O$6</c:f>
              <c:strCache>
                <c:ptCount val="4"/>
                <c:pt idx="0">
                  <c:v>Al Dammam</c:v>
                </c:pt>
                <c:pt idx="1">
                  <c:v>Jeddah</c:v>
                </c:pt>
                <c:pt idx="2">
                  <c:v>Makkah</c:v>
                </c:pt>
                <c:pt idx="3">
                  <c:v>Riyadh</c:v>
                </c:pt>
              </c:strCache>
            </c:strRef>
          </c:cat>
          <c:val>
            <c:numRef>
              <c:f>Calculations!$P$2:$P$6</c:f>
              <c:numCache>
                <c:formatCode>"$"#,##0.00</c:formatCode>
                <c:ptCount val="4"/>
                <c:pt idx="0">
                  <c:v>149306.42424242425</c:v>
                </c:pt>
                <c:pt idx="1">
                  <c:v>147152.18181818182</c:v>
                </c:pt>
                <c:pt idx="2">
                  <c:v>119258.54545454546</c:v>
                </c:pt>
                <c:pt idx="3">
                  <c:v>206741.09090909091</c:v>
                </c:pt>
              </c:numCache>
            </c:numRef>
          </c:val>
          <c:extLst>
            <c:ext xmlns:c16="http://schemas.microsoft.com/office/drawing/2014/chart" uri="{C3380CC4-5D6E-409C-BE32-E72D297353CC}">
              <c16:uniqueId val="{0000000A-839C-4B89-A8FF-65A3C63BED16}"/>
            </c:ext>
          </c:extLst>
        </c:ser>
        <c:dLbls>
          <c:dLblPos val="inEnd"/>
          <c:showLegendKey val="0"/>
          <c:showVal val="1"/>
          <c:showCatName val="0"/>
          <c:showSerName val="0"/>
          <c:showPercent val="0"/>
          <c:showBubbleSize val="0"/>
        </c:dLbls>
        <c:gapWidth val="65"/>
        <c:axId val="99173824"/>
        <c:axId val="99176704"/>
      </c:barChart>
      <c:catAx>
        <c:axId val="99173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176704"/>
        <c:crosses val="autoZero"/>
        <c:auto val="1"/>
        <c:lblAlgn val="ctr"/>
        <c:lblOffset val="100"/>
        <c:noMultiLvlLbl val="0"/>
      </c:catAx>
      <c:valAx>
        <c:axId val="99176704"/>
        <c:scaling>
          <c:orientation val="minMax"/>
        </c:scaling>
        <c:delete val="1"/>
        <c:axPos val="b"/>
        <c:numFmt formatCode="&quot;$&quot;#,##0.00" sourceLinked="1"/>
        <c:majorTickMark val="none"/>
        <c:minorTickMark val="none"/>
        <c:tickLblPos val="nextTo"/>
        <c:crossAx val="9917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462557</xdr:colOff>
      <xdr:row>16</xdr:row>
      <xdr:rowOff>148828</xdr:rowOff>
    </xdr:from>
    <xdr:to>
      <xdr:col>13</xdr:col>
      <xdr:colOff>35917</xdr:colOff>
      <xdr:row>19</xdr:row>
      <xdr:rowOff>99219</xdr:rowOff>
    </xdr:to>
    <xdr:sp macro="" textlink="Calculations!S8">
      <xdr:nvSpPr>
        <xdr:cNvPr id="2" name="TextBox 1">
          <a:extLst>
            <a:ext uri="{FF2B5EF4-FFF2-40B4-BE49-F238E27FC236}">
              <a16:creationId xmlns:a16="http://schemas.microsoft.com/office/drawing/2014/main" id="{44694D3F-4B56-40D1-A57D-5BDE2F4BE0E1}"/>
            </a:ext>
          </a:extLst>
        </xdr:cNvPr>
        <xdr:cNvSpPr txBox="1"/>
      </xdr:nvSpPr>
      <xdr:spPr>
        <a:xfrm>
          <a:off x="6197401" y="2242344"/>
          <a:ext cx="2599532" cy="515938"/>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fld id="{146461EA-E76D-4C4D-B1B3-5DFD99E1A8FF}" type="TxLink">
            <a:rPr lang="en-US" sz="2400" b="1" i="0" u="none" strike="noStrike">
              <a:solidFill>
                <a:schemeClr val="tx2">
                  <a:lumMod val="75000"/>
                  <a:lumOff val="25000"/>
                </a:schemeClr>
              </a:solidFill>
              <a:latin typeface="Aptos Narrow"/>
            </a:rPr>
            <a:pPr algn="ctr"/>
            <a:t>$622,458.24</a:t>
          </a:fld>
          <a:endParaRPr lang="en-US" sz="59500" b="1">
            <a:solidFill>
              <a:schemeClr val="tx2">
                <a:lumMod val="75000"/>
                <a:lumOff val="25000"/>
              </a:schemeClr>
            </a:solidFill>
          </a:endParaRPr>
        </a:p>
      </xdr:txBody>
    </xdr:sp>
    <xdr:clientData/>
  </xdr:twoCellAnchor>
  <xdr:twoCellAnchor>
    <xdr:from>
      <xdr:col>0</xdr:col>
      <xdr:colOff>0</xdr:colOff>
      <xdr:row>0</xdr:row>
      <xdr:rowOff>0</xdr:rowOff>
    </xdr:from>
    <xdr:to>
      <xdr:col>11</xdr:col>
      <xdr:colOff>38100</xdr:colOff>
      <xdr:row>26</xdr:row>
      <xdr:rowOff>57150</xdr:rowOff>
    </xdr:to>
    <xdr:graphicFrame macro="">
      <xdr:nvGraphicFramePr>
        <xdr:cNvPr id="3" name="Chart 2">
          <a:extLst>
            <a:ext uri="{FF2B5EF4-FFF2-40B4-BE49-F238E27FC236}">
              <a16:creationId xmlns:a16="http://schemas.microsoft.com/office/drawing/2014/main" id="{8761C4FB-F3C8-4E5A-834D-E7282EC1C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407590</xdr:colOff>
      <xdr:row>0</xdr:row>
      <xdr:rowOff>29764</xdr:rowOff>
    </xdr:from>
    <xdr:to>
      <xdr:col>26</xdr:col>
      <xdr:colOff>245666</xdr:colOff>
      <xdr:row>23</xdr:row>
      <xdr:rowOff>152003</xdr:rowOff>
    </xdr:to>
    <xdr:graphicFrame macro="">
      <xdr:nvGraphicFramePr>
        <xdr:cNvPr id="4" name="Chart 3">
          <a:extLst>
            <a:ext uri="{FF2B5EF4-FFF2-40B4-BE49-F238E27FC236}">
              <a16:creationId xmlns:a16="http://schemas.microsoft.com/office/drawing/2014/main" id="{3E00F4DB-2CA2-40DA-AF48-1414A81F4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367109</xdr:colOff>
      <xdr:row>27</xdr:row>
      <xdr:rowOff>0</xdr:rowOff>
    </xdr:from>
    <xdr:to>
      <xdr:col>28</xdr:col>
      <xdr:colOff>141684</xdr:colOff>
      <xdr:row>44</xdr:row>
      <xdr:rowOff>1208088</xdr:rowOff>
    </xdr:to>
    <xdr:graphicFrame macro="">
      <xdr:nvGraphicFramePr>
        <xdr:cNvPr id="5" name="Chart 4">
          <a:extLst>
            <a:ext uri="{FF2B5EF4-FFF2-40B4-BE49-F238E27FC236}">
              <a16:creationId xmlns:a16="http://schemas.microsoft.com/office/drawing/2014/main" id="{A80D2B6C-680A-4156-9A4F-752F45C20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406799</xdr:colOff>
      <xdr:row>18</xdr:row>
      <xdr:rowOff>39688</xdr:rowOff>
    </xdr:from>
    <xdr:to>
      <xdr:col>6</xdr:col>
      <xdr:colOff>0</xdr:colOff>
      <xdr:row>29</xdr:row>
      <xdr:rowOff>0</xdr:rowOff>
    </xdr:to>
    <xdr:graphicFrame macro="">
      <xdr:nvGraphicFramePr>
        <xdr:cNvPr id="6" name="Chart 5">
          <a:extLst>
            <a:ext uri="{FF2B5EF4-FFF2-40B4-BE49-F238E27FC236}">
              <a16:creationId xmlns:a16="http://schemas.microsoft.com/office/drawing/2014/main" id="{481C1130-02CD-429E-BD70-28C411B36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104180</xdr:colOff>
      <xdr:row>14</xdr:row>
      <xdr:rowOff>79374</xdr:rowOff>
    </xdr:from>
    <xdr:to>
      <xdr:col>13</xdr:col>
      <xdr:colOff>483593</xdr:colOff>
      <xdr:row>16</xdr:row>
      <xdr:rowOff>119061</xdr:rowOff>
    </xdr:to>
    <xdr:sp macro="" textlink="">
      <xdr:nvSpPr>
        <xdr:cNvPr id="7" name="TextBox 6">
          <a:extLst>
            <a:ext uri="{FF2B5EF4-FFF2-40B4-BE49-F238E27FC236}">
              <a16:creationId xmlns:a16="http://schemas.microsoft.com/office/drawing/2014/main" id="{7563410D-5E64-4F7F-9C3F-856E15DE2EAD}"/>
            </a:ext>
          </a:extLst>
        </xdr:cNvPr>
        <xdr:cNvSpPr txBox="1"/>
      </xdr:nvSpPr>
      <xdr:spPr>
        <a:xfrm>
          <a:off x="6444258" y="1795858"/>
          <a:ext cx="2800351"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a:t>
          </a:r>
          <a:r>
            <a:rPr lang="en-US" sz="2400" b="1" baseline="0"/>
            <a:t> Revenue</a:t>
          </a:r>
        </a:p>
        <a:p>
          <a:endParaRPr lang="en-US" sz="1800"/>
        </a:p>
        <a:p>
          <a:endParaRPr lang="ar-SA" sz="1100"/>
        </a:p>
        <a:p>
          <a:endParaRPr lang="ar-SA" sz="1100"/>
        </a:p>
        <a:p>
          <a:endParaRPr lang="en-US" sz="1100"/>
        </a:p>
      </xdr:txBody>
    </xdr:sp>
    <xdr:clientData/>
  </xdr:twoCellAnchor>
  <xdr:twoCellAnchor>
    <xdr:from>
      <xdr:col>8</xdr:col>
      <xdr:colOff>28576</xdr:colOff>
      <xdr:row>3011</xdr:row>
      <xdr:rowOff>9525</xdr:rowOff>
    </xdr:from>
    <xdr:to>
      <xdr:col>9</xdr:col>
      <xdr:colOff>76200</xdr:colOff>
      <xdr:row>3013</xdr:row>
      <xdr:rowOff>104777</xdr:rowOff>
    </xdr:to>
    <xdr:sp macro="" textlink="">
      <xdr:nvSpPr>
        <xdr:cNvPr id="8" name="Rectangle 7">
          <a:extLst>
            <a:ext uri="{FF2B5EF4-FFF2-40B4-BE49-F238E27FC236}">
              <a16:creationId xmlns:a16="http://schemas.microsoft.com/office/drawing/2014/main" id="{679E21B1-6AFA-4776-97BE-B7929B92D2C0}"/>
            </a:ext>
          </a:extLst>
        </xdr:cNvPr>
        <xdr:cNvSpPr/>
      </xdr:nvSpPr>
      <xdr:spPr>
        <a:xfrm>
          <a:off x="4905376" y="14906625"/>
          <a:ext cx="657224" cy="476252"/>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39686</xdr:rowOff>
    </xdr:from>
    <xdr:to>
      <xdr:col>8</xdr:col>
      <xdr:colOff>0</xdr:colOff>
      <xdr:row>19</xdr:row>
      <xdr:rowOff>96836</xdr:rowOff>
    </xdr:to>
    <xdr:graphicFrame macro="">
      <xdr:nvGraphicFramePr>
        <xdr:cNvPr id="13" name="Chart 12">
          <a:extLst>
            <a:ext uri="{FF2B5EF4-FFF2-40B4-BE49-F238E27FC236}">
              <a16:creationId xmlns:a16="http://schemas.microsoft.com/office/drawing/2014/main" id="{E9D000C9-69ED-46EF-A28C-0308B62B7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295275</xdr:colOff>
      <xdr:row>2</xdr:row>
      <xdr:rowOff>128985</xdr:rowOff>
    </xdr:from>
    <xdr:to>
      <xdr:col>27</xdr:col>
      <xdr:colOff>57149</xdr:colOff>
      <xdr:row>20</xdr:row>
      <xdr:rowOff>128985</xdr:rowOff>
    </xdr:to>
    <xdr:graphicFrame macro="">
      <xdr:nvGraphicFramePr>
        <xdr:cNvPr id="15" name="Chart 14">
          <a:extLst>
            <a:ext uri="{FF2B5EF4-FFF2-40B4-BE49-F238E27FC236}">
              <a16:creationId xmlns:a16="http://schemas.microsoft.com/office/drawing/2014/main" id="{53D43B05-965C-4035-98B8-08A7A69B5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18</xdr:row>
      <xdr:rowOff>89298</xdr:rowOff>
    </xdr:from>
    <xdr:to>
      <xdr:col>7</xdr:col>
      <xdr:colOff>550067</xdr:colOff>
      <xdr:row>31</xdr:row>
      <xdr:rowOff>0</xdr:rowOff>
    </xdr:to>
    <xdr:graphicFrame macro="">
      <xdr:nvGraphicFramePr>
        <xdr:cNvPr id="17" name="Chart 16">
          <a:extLst>
            <a:ext uri="{FF2B5EF4-FFF2-40B4-BE49-F238E27FC236}">
              <a16:creationId xmlns:a16="http://schemas.microsoft.com/office/drawing/2014/main" id="{13633383-93AD-4929-888B-A88F3D33B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277813</xdr:colOff>
      <xdr:row>22</xdr:row>
      <xdr:rowOff>49609</xdr:rowOff>
    </xdr:from>
    <xdr:to>
      <xdr:col>28</xdr:col>
      <xdr:colOff>4763</xdr:colOff>
      <xdr:row>35</xdr:row>
      <xdr:rowOff>125809</xdr:rowOff>
    </xdr:to>
    <xdr:graphicFrame macro="">
      <xdr:nvGraphicFramePr>
        <xdr:cNvPr id="18" name="Chart 17">
          <a:extLst>
            <a:ext uri="{FF2B5EF4-FFF2-40B4-BE49-F238E27FC236}">
              <a16:creationId xmlns:a16="http://schemas.microsoft.com/office/drawing/2014/main" id="{28D30D0A-E4BA-4378-B13F-B1C9A5265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xdr:col>
      <xdr:colOff>0</xdr:colOff>
      <xdr:row>2</xdr:row>
      <xdr:rowOff>0</xdr:rowOff>
    </xdr:from>
    <xdr:ext cx="7064375" cy="718530"/>
    <xdr:sp macro="" textlink="">
      <xdr:nvSpPr>
        <xdr:cNvPr id="19" name="TextBox 18">
          <a:extLst>
            <a:ext uri="{FF2B5EF4-FFF2-40B4-BE49-F238E27FC236}">
              <a16:creationId xmlns:a16="http://schemas.microsoft.com/office/drawing/2014/main" id="{C8BB1CDF-ED1A-CBEA-856F-3F138938A18D}"/>
            </a:ext>
          </a:extLst>
        </xdr:cNvPr>
        <xdr:cNvSpPr txBox="1"/>
      </xdr:nvSpPr>
      <xdr:spPr>
        <a:xfrm>
          <a:off x="5129609" y="377031"/>
          <a:ext cx="7064375"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000" b="1">
              <a:solidFill>
                <a:schemeClr val="tx2">
                  <a:lumMod val="75000"/>
                  <a:lumOff val="25000"/>
                </a:schemeClr>
              </a:solidFill>
            </a:rPr>
            <a:t>Sales</a:t>
          </a:r>
          <a:r>
            <a:rPr lang="en-US" sz="3600" b="1" u="sng">
              <a:solidFill>
                <a:schemeClr val="tx2">
                  <a:lumMod val="75000"/>
                  <a:lumOff val="25000"/>
                </a:schemeClr>
              </a:solidFill>
            </a:rPr>
            <a:t> Performance </a:t>
          </a:r>
          <a:r>
            <a:rPr lang="en-US" sz="3600" b="1">
              <a:solidFill>
                <a:schemeClr val="tx2">
                  <a:lumMod val="75000"/>
                  <a:lumOff val="25000"/>
                </a:schemeClr>
              </a:solidFill>
            </a:rPr>
            <a:t>Dashboard</a:t>
          </a:r>
        </a:p>
      </xdr:txBody>
    </xdr:sp>
    <xdr:clientData/>
  </xdr:oneCellAnchor>
  <xdr:oneCellAnchor>
    <xdr:from>
      <xdr:col>8</xdr:col>
      <xdr:colOff>535782</xdr:colOff>
      <xdr:row>19</xdr:row>
      <xdr:rowOff>128985</xdr:rowOff>
    </xdr:from>
    <xdr:ext cx="3165078" cy="436562"/>
    <xdr:sp macro="" textlink="">
      <xdr:nvSpPr>
        <xdr:cNvPr id="20" name="TextBox 19">
          <a:extLst>
            <a:ext uri="{FF2B5EF4-FFF2-40B4-BE49-F238E27FC236}">
              <a16:creationId xmlns:a16="http://schemas.microsoft.com/office/drawing/2014/main" id="{093DB1A4-6B15-BCBF-C17E-FFC9ABE6974B}"/>
            </a:ext>
          </a:extLst>
        </xdr:cNvPr>
        <xdr:cNvSpPr txBox="1"/>
      </xdr:nvSpPr>
      <xdr:spPr>
        <a:xfrm>
          <a:off x="6270626" y="2788048"/>
          <a:ext cx="3165078" cy="436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tx1"/>
              </a:solidFill>
            </a:rPr>
            <a:t>Number of Orders</a:t>
          </a:r>
        </a:p>
        <a:p>
          <a:endParaRPr lang="en-US" sz="1100"/>
        </a:p>
      </xdr:txBody>
    </xdr:sp>
    <xdr:clientData/>
  </xdr:oneCellAnchor>
  <xdr:oneCellAnchor>
    <xdr:from>
      <xdr:col>10</xdr:col>
      <xdr:colOff>80565</xdr:colOff>
      <xdr:row>21</xdr:row>
      <xdr:rowOff>119061</xdr:rowOff>
    </xdr:from>
    <xdr:ext cx="1121173" cy="468013"/>
    <xdr:sp macro="" textlink="Calculations!T8">
      <xdr:nvSpPr>
        <xdr:cNvPr id="21" name="TextBox 20">
          <a:extLst>
            <a:ext uri="{FF2B5EF4-FFF2-40B4-BE49-F238E27FC236}">
              <a16:creationId xmlns:a16="http://schemas.microsoft.com/office/drawing/2014/main" id="{D3CD5A99-DD60-C8F2-F0D2-CAAD00467E9C}"/>
            </a:ext>
          </a:extLst>
        </xdr:cNvPr>
        <xdr:cNvSpPr txBox="1"/>
      </xdr:nvSpPr>
      <xdr:spPr>
        <a:xfrm>
          <a:off x="7025878" y="3155155"/>
          <a:ext cx="112117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4ECA122-AFDB-417B-9F24-8D9636A654D0}" type="TxLink">
            <a:rPr lang="en-US" sz="2400" b="1" i="0" u="none" strike="noStrike">
              <a:solidFill>
                <a:schemeClr val="tx2">
                  <a:lumMod val="75000"/>
                  <a:lumOff val="25000"/>
                </a:schemeClr>
              </a:solidFill>
              <a:latin typeface="Aptos Narrow"/>
            </a:rPr>
            <a:pPr/>
            <a:t>346</a:t>
          </a:fld>
          <a:endParaRPr lang="en-US" sz="3200" b="1">
            <a:solidFill>
              <a:schemeClr val="tx2">
                <a:lumMod val="75000"/>
                <a:lumOff val="25000"/>
              </a:schemeClr>
            </a:solidFill>
          </a:endParaRPr>
        </a:p>
      </xdr:txBody>
    </xdr:sp>
    <xdr:clientData/>
  </xdr:oneCellAnchor>
  <xdr:twoCellAnchor>
    <xdr:from>
      <xdr:col>26</xdr:col>
      <xdr:colOff>276624</xdr:colOff>
      <xdr:row>14</xdr:row>
      <xdr:rowOff>19844</xdr:rowOff>
    </xdr:from>
    <xdr:to>
      <xdr:col>27</xdr:col>
      <xdr:colOff>1127920</xdr:colOff>
      <xdr:row>18</xdr:row>
      <xdr:rowOff>49610</xdr:rowOff>
    </xdr:to>
    <xdr:sp macro="" textlink="">
      <xdr:nvSpPr>
        <xdr:cNvPr id="14" name="TextBox 13">
          <a:extLst>
            <a:ext uri="{FF2B5EF4-FFF2-40B4-BE49-F238E27FC236}">
              <a16:creationId xmlns:a16="http://schemas.microsoft.com/office/drawing/2014/main" id="{18641E14-C9EE-78AB-613D-790143ED6B06}"/>
            </a:ext>
          </a:extLst>
        </xdr:cNvPr>
        <xdr:cNvSpPr txBox="1"/>
      </xdr:nvSpPr>
      <xdr:spPr>
        <a:xfrm>
          <a:off x="16459202" y="1736328"/>
          <a:ext cx="1456531" cy="783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December Surge 48% of total revenue (297K)</a:t>
          </a:r>
        </a:p>
      </xdr:txBody>
    </xdr:sp>
    <xdr:clientData/>
  </xdr:twoCellAnchor>
  <xdr:twoCellAnchor>
    <xdr:from>
      <xdr:col>0</xdr:col>
      <xdr:colOff>426643</xdr:colOff>
      <xdr:row>19</xdr:row>
      <xdr:rowOff>29765</xdr:rowOff>
    </xdr:from>
    <xdr:to>
      <xdr:col>3</xdr:col>
      <xdr:colOff>208360</xdr:colOff>
      <xdr:row>22</xdr:row>
      <xdr:rowOff>89299</xdr:rowOff>
    </xdr:to>
    <xdr:sp macro="" textlink="">
      <xdr:nvSpPr>
        <xdr:cNvPr id="16" name="TextBox 15">
          <a:extLst>
            <a:ext uri="{FF2B5EF4-FFF2-40B4-BE49-F238E27FC236}">
              <a16:creationId xmlns:a16="http://schemas.microsoft.com/office/drawing/2014/main" id="{F5828033-845C-385B-C42A-AF79035048E1}"/>
            </a:ext>
          </a:extLst>
        </xdr:cNvPr>
        <xdr:cNvSpPr txBox="1"/>
      </xdr:nvSpPr>
      <xdr:spPr>
        <a:xfrm rot="10800000" flipH="1" flipV="1">
          <a:off x="426643" y="2688828"/>
          <a:ext cx="1597420" cy="62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CPU+GPU = 50% of sales Top performers</a:t>
          </a:r>
          <a:endParaRPr lang="ar-SA" sz="1200" b="1">
            <a:solidFill>
              <a:schemeClr val="tx1"/>
            </a:solidFill>
          </a:endParaRPr>
        </a:p>
        <a:p>
          <a:endParaRPr lang="en-US" sz="1100"/>
        </a:p>
      </xdr:txBody>
    </xdr:sp>
    <xdr:clientData/>
  </xdr:twoCellAnchor>
  <xdr:twoCellAnchor>
    <xdr:from>
      <xdr:col>14</xdr:col>
      <xdr:colOff>69453</xdr:colOff>
      <xdr:row>11</xdr:row>
      <xdr:rowOff>29766</xdr:rowOff>
    </xdr:from>
    <xdr:to>
      <xdr:col>18</xdr:col>
      <xdr:colOff>506015</xdr:colOff>
      <xdr:row>18</xdr:row>
      <xdr:rowOff>19844</xdr:rowOff>
    </xdr:to>
    <xdr:sp macro="" textlink="">
      <xdr:nvSpPr>
        <xdr:cNvPr id="23" name="TextBox 22">
          <a:extLst>
            <a:ext uri="{FF2B5EF4-FFF2-40B4-BE49-F238E27FC236}">
              <a16:creationId xmlns:a16="http://schemas.microsoft.com/office/drawing/2014/main" id="{4849893D-D34A-A38F-C8A8-4A9E86B4789E}"/>
            </a:ext>
          </a:extLst>
        </xdr:cNvPr>
        <xdr:cNvSpPr txBox="1"/>
      </xdr:nvSpPr>
      <xdr:spPr>
        <a:xfrm>
          <a:off x="8542734" y="1180704"/>
          <a:ext cx="2857500" cy="1309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Gaming Categories Lead </a:t>
          </a:r>
          <a:endParaRPr lang="ar-SA"/>
        </a:p>
        <a:p>
          <a:r>
            <a:rPr lang="en-US"/>
            <a:t>CPU + GPU = 50% of total sales 304,443 </a:t>
          </a:r>
          <a:endParaRPr lang="ar-SA"/>
        </a:p>
        <a:p>
          <a:r>
            <a:rPr lang="en-US"/>
            <a:t>Top 3 Categories:  • CPU: 27% (163K)</a:t>
          </a:r>
          <a:endParaRPr lang="ar-SA"/>
        </a:p>
        <a:p>
          <a:r>
            <a:rPr lang="en-US"/>
            <a:t>GPU: 23% ( 140K) </a:t>
          </a:r>
          <a:endParaRPr lang="ar-SA"/>
        </a:p>
        <a:p>
          <a:r>
            <a:rPr lang="en-US"/>
            <a:t> Storage: 12% (72K) </a:t>
          </a:r>
          <a:endParaRPr lang="en-US" sz="1100"/>
        </a:p>
      </xdr:txBody>
    </xdr:sp>
    <xdr:clientData/>
  </xdr:twoCellAnchor>
  <xdr:twoCellAnchor>
    <xdr:from>
      <xdr:col>4</xdr:col>
      <xdr:colOff>536970</xdr:colOff>
      <xdr:row>32</xdr:row>
      <xdr:rowOff>17661</xdr:rowOff>
    </xdr:from>
    <xdr:to>
      <xdr:col>7</xdr:col>
      <xdr:colOff>550067</xdr:colOff>
      <xdr:row>40</xdr:row>
      <xdr:rowOff>49609</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504C5789-4943-52A2-FD79-D9CD1BEAEAC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50876" y="5147270"/>
              <a:ext cx="1828800" cy="1540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550067</xdr:colOff>
      <xdr:row>32</xdr:row>
      <xdr:rowOff>19844</xdr:rowOff>
    </xdr:from>
    <xdr:to>
      <xdr:col>10</xdr:col>
      <xdr:colOff>563164</xdr:colOff>
      <xdr:row>40</xdr:row>
      <xdr:rowOff>49609</xdr:rowOff>
    </xdr:to>
    <mc:AlternateContent xmlns:mc="http://schemas.openxmlformats.org/markup-compatibility/2006" xmlns:a14="http://schemas.microsoft.com/office/drawing/2010/main">
      <mc:Choice Requires="a14">
        <xdr:graphicFrame macro="">
          <xdr:nvGraphicFramePr>
            <xdr:cNvPr id="11" name="Order_Date (Month)">
              <a:extLst>
                <a:ext uri="{FF2B5EF4-FFF2-40B4-BE49-F238E27FC236}">
                  <a16:creationId xmlns:a16="http://schemas.microsoft.com/office/drawing/2014/main" id="{3CC540D0-1C9C-9951-36E6-926560CFED62}"/>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5679676" y="5149453"/>
              <a:ext cx="1828801" cy="1537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572291</xdr:colOff>
      <xdr:row>32</xdr:row>
      <xdr:rowOff>17660</xdr:rowOff>
    </xdr:from>
    <xdr:to>
      <xdr:col>13</xdr:col>
      <xdr:colOff>585388</xdr:colOff>
      <xdr:row>40</xdr:row>
      <xdr:rowOff>49608</xdr:rowOff>
    </xdr:to>
    <mc:AlternateContent xmlns:mc="http://schemas.openxmlformats.org/markup-compatibility/2006" xmlns:a14="http://schemas.microsoft.com/office/drawing/2010/main">
      <mc:Choice Requires="a14">
        <xdr:graphicFrame macro="">
          <xdr:nvGraphicFramePr>
            <xdr:cNvPr id="24" name="Brand">
              <a:extLst>
                <a:ext uri="{FF2B5EF4-FFF2-40B4-BE49-F238E27FC236}">
                  <a16:creationId xmlns:a16="http://schemas.microsoft.com/office/drawing/2014/main" id="{E7B74458-D63F-A86D-A1BD-7F3DD7417ACF}"/>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517604" y="5147269"/>
              <a:ext cx="1828800" cy="1540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585388</xdr:colOff>
      <xdr:row>32</xdr:row>
      <xdr:rowOff>17662</xdr:rowOff>
    </xdr:from>
    <xdr:to>
      <xdr:col>16</xdr:col>
      <xdr:colOff>598485</xdr:colOff>
      <xdr:row>40</xdr:row>
      <xdr:rowOff>49609</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3B5518A5-51C2-214E-1475-514B0A1C5D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46404" y="5147271"/>
              <a:ext cx="1685925" cy="1540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377031</xdr:colOff>
      <xdr:row>23</xdr:row>
      <xdr:rowOff>119062</xdr:rowOff>
    </xdr:from>
    <xdr:to>
      <xdr:col>14</xdr:col>
      <xdr:colOff>168671</xdr:colOff>
      <xdr:row>26</xdr:row>
      <xdr:rowOff>9922</xdr:rowOff>
    </xdr:to>
    <xdr:sp macro="" textlink="">
      <xdr:nvSpPr>
        <xdr:cNvPr id="9" name="TextBox 8">
          <a:extLst>
            <a:ext uri="{FF2B5EF4-FFF2-40B4-BE49-F238E27FC236}">
              <a16:creationId xmlns:a16="http://schemas.microsoft.com/office/drawing/2014/main" id="{5B96EAB1-77B7-DCC0-CBDA-2D47A32D7667}"/>
            </a:ext>
          </a:extLst>
        </xdr:cNvPr>
        <xdr:cNvSpPr txBox="1"/>
      </xdr:nvSpPr>
      <xdr:spPr>
        <a:xfrm>
          <a:off x="5506640" y="3532187"/>
          <a:ext cx="4028281" cy="4564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Average Order Value</a:t>
          </a:r>
        </a:p>
      </xdr:txBody>
    </xdr:sp>
    <xdr:clientData/>
  </xdr:twoCellAnchor>
  <xdr:twoCellAnchor>
    <xdr:from>
      <xdr:col>9</xdr:col>
      <xdr:colOff>158750</xdr:colOff>
      <xdr:row>25</xdr:row>
      <xdr:rowOff>178594</xdr:rowOff>
    </xdr:from>
    <xdr:to>
      <xdr:col>12</xdr:col>
      <xdr:colOff>561778</xdr:colOff>
      <xdr:row>28</xdr:row>
      <xdr:rowOff>39687</xdr:rowOff>
    </xdr:to>
    <xdr:sp macro="" textlink="Calculations!S12">
      <xdr:nvSpPr>
        <xdr:cNvPr id="12" name="TextBox 11">
          <a:extLst>
            <a:ext uri="{FF2B5EF4-FFF2-40B4-BE49-F238E27FC236}">
              <a16:creationId xmlns:a16="http://schemas.microsoft.com/office/drawing/2014/main" id="{5BE991A0-DB4B-8FA5-7C84-0B973D993C61}"/>
            </a:ext>
          </a:extLst>
        </xdr:cNvPr>
        <xdr:cNvSpPr txBox="1"/>
      </xdr:nvSpPr>
      <xdr:spPr>
        <a:xfrm>
          <a:off x="6498828" y="3968750"/>
          <a:ext cx="2218731" cy="4365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          </a:t>
          </a:r>
          <a:fld id="{2213632D-DF92-4CBE-8023-0D5C56828E59}" type="TxLink">
            <a:rPr lang="en-US" sz="2400" b="1" i="0" u="none" strike="noStrike">
              <a:solidFill>
                <a:schemeClr val="tx2">
                  <a:lumMod val="90000"/>
                  <a:lumOff val="10000"/>
                </a:schemeClr>
              </a:solidFill>
              <a:latin typeface="Aptos Narrow"/>
            </a:rPr>
            <a:t>$1,799.01</a:t>
          </a:fld>
          <a:endParaRPr lang="en-US" sz="1100" b="1">
            <a:solidFill>
              <a:schemeClr val="tx2">
                <a:lumMod val="90000"/>
                <a:lumOff val="10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 refreshedDate="46064.892384027778" backgroundQuery="1" createdVersion="8" refreshedVersion="8" minRefreshableVersion="3" recordCount="0" supportSubquery="1" supportAdvancedDrill="1" xr:uid="{68CD339A-7058-41E1-8F50-8E929D543F60}">
  <cacheSource type="external" connectionId="1"/>
  <cacheFields count="6">
    <cacheField name="[Measures].[Sum of Sales]" caption="Sum of Sales" numFmtId="0" hierarchy="41" level="32767"/>
    <cacheField name="[Measures].[Count of Order_ID]" caption="Count of Order_ID" numFmtId="0" hierarchy="45" level="32767"/>
    <cacheField name="[PROUDCTS].[Brand].[Brand]" caption="Brand" numFmtId="0" hierarchy="7" level="1">
      <sharedItems containsSemiMixedTypes="0" containsNonDate="0" containsString="0"/>
    </cacheField>
    <cacheField name="[Customers_1].[City].[City]" caption="City" numFmtId="0" hierarchy="2" level="1">
      <sharedItems containsSemiMixedTypes="0" containsNonDate="0" containsString="0"/>
    </cacheField>
    <cacheField name="[Table3].[Order_Date (Month)].[Order_Date (Month)]" caption="Order_Date (Month)" numFmtId="0" hierarchy="29" level="1">
      <sharedItems containsSemiMixedTypes="0" containsNonDate="0" containsString="0"/>
    </cacheField>
    <cacheField name="[PROUDCTS].[Category].[Category]" caption="Category" numFmtId="0" hierarchy="8" level="1">
      <sharedItems containsSemiMixedTypes="0" containsNonDate="0" containsString="0"/>
    </cacheField>
  </cacheFields>
  <cacheHierarchies count="46">
    <cacheHierarchy uniqueName="[Customers_1].[Customer_ID]" caption="Customer_ID" attribute="1" defaultMemberUniqueName="[Customers_1].[Customer_ID].[All]" allUniqueName="[Customers_1].[Customer_ID].[All]" dimensionUniqueName="[Customers_1]" displayFolder="" count="0" memberValueDatatype="20" unbalanced="0"/>
    <cacheHierarchy uniqueName="[Customers_1].[Customer_Name]" caption="Customer_Name" attribute="1" defaultMemberUniqueName="[Customers_1].[Customer_Name].[All]" allUniqueName="[Customers_1].[Customer_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2" memberValueDatatype="130" unbalanced="0">
      <fieldsUsage count="2">
        <fieldUsage x="-1"/>
        <fieldUsage x="3"/>
      </fieldsUsage>
    </cacheHierarchy>
    <cacheHierarchy uniqueName="[Customers_1].[Phone_Number]" caption="Phone_Number" attribute="1" defaultMemberUniqueName="[Customers_1].[Phone_Number].[All]" allUniqueName="[Customers_1].[Phone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PROUDCTS].[Prodct_ID]" caption="Prodct_ID" attribute="1" defaultMemberUniqueName="[PROUDCTS].[Prodct_ID].[All]" allUniqueName="[PROUDCTS].[Prodct_ID].[All]" dimensionUniqueName="[PROUDCTS]" displayFolder="" count="0" memberValueDatatype="20" unbalanced="0"/>
    <cacheHierarchy uniqueName="[PROUDCTS].[Product_Name]" caption="Product_Name" attribute="1" defaultMemberUniqueName="[PROUDCTS].[Product_Name].[All]" allUniqueName="[PROUDCTS].[Product_Name].[All]" dimensionUniqueName="[PROUDCTS]" displayFolder="" count="0" memberValueDatatype="130" unbalanced="0"/>
    <cacheHierarchy uniqueName="[PROUDCTS].[Brand]" caption="Brand" attribute="1" defaultMemberUniqueName="[PROUDCTS].[Brand].[All]" allUniqueName="[PROUDCTS].[Brand].[All]" dimensionUniqueName="[PROUDCTS]" displayFolder="" count="2" memberValueDatatype="130" unbalanced="0">
      <fieldsUsage count="2">
        <fieldUsage x="-1"/>
        <fieldUsage x="2"/>
      </fieldsUsage>
    </cacheHierarchy>
    <cacheHierarchy uniqueName="[PROUDCTS].[Category]" caption="Category" attribute="1" defaultMemberUniqueName="[PROUDCTS].[Category].[All]" allUniqueName="[PROUDCTS].[Category].[All]" dimensionUniqueName="[PROUDCTS]" displayFolder="" count="2" memberValueDatatype="130" unbalanced="0">
      <fieldsUsage count="2">
        <fieldUsage x="-1"/>
        <fieldUsage x="5"/>
      </fieldsUsage>
    </cacheHierarchy>
    <cacheHierarchy uniqueName="[PROUDCTS].[Price]" caption="Price" attribute="1" defaultMemberUniqueName="[PROUDCTS].[Price].[All]" allUniqueName="[PROUDCTS].[Price].[All]" dimensionUniqueName="[PROUDCTS]" displayFolder="" count="0" memberValueDatatype="20" unbalanced="0"/>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ID]" caption="Product_ID" attribute="1" defaultMemberUniqueName="[Range].[Product_ID].[All]" allUniqueName="[Range].[Product_I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 1].[Prodct_ID]" caption="Prodct_ID" attribute="1" defaultMemberUniqueName="[Range 1].[Prodct_ID].[All]" allUniqueName="[Range 1].[Prod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Brand]" caption="Brand" attribute="1" defaultMemberUniqueName="[Range 1].[Brand].[All]" allUniqueName="[Range 1].[Bran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time="1" defaultMemberUniqueName="[Table3].[Order_Date].[All]" allUniqueName="[Table3].[Order_Date].[All]" dimensionUniqueName="[Table3]" displayFolder="" count="0" memberValueDatatype="7" unbalanced="0"/>
    <cacheHierarchy uniqueName="[Table3].[Customer_ID]" caption="Customer_ID" attribute="1" defaultMemberUniqueName="[Table3].[Customer_ID].[All]" allUniqueName="[Table3].[Customer_ID].[All]" dimensionUniqueName="[Table3]" displayFolder="" count="0" memberValueDatatype="20" unbalanced="0"/>
    <cacheHierarchy uniqueName="[Table3].[Product_ID]" caption="Product_ID" attribute="1" defaultMemberUniqueName="[Table3].[Product_ID].[All]" allUniqueName="[Table3].[Product_ID].[All]" dimensionUniqueName="[Table3]" displayFolder="" count="0" memberValueDatatype="20" unbalanced="0"/>
    <cacheHierarchy uniqueName="[Table3].[Quantity]" caption="Quantity" attribute="1" defaultMemberUniqueName="[Table3].[Quantity].[All]" allUniqueName="[Table3].[Quantity].[All]" dimensionUniqueName="[Table3]" displayFolder="" count="0" memberValueDatatype="5" unbalanced="0"/>
    <cacheHierarchy uniqueName="[Table3].[Unit_Price]" caption="Unit_Price" attribute="1" defaultMemberUniqueName="[Table3].[Unit_Price].[All]" allUniqueName="[Table3].[Unit_Price].[All]" dimensionUniqueName="[Table3]" displayFolder="" count="0" memberValueDatatype="20" unbalanced="0"/>
    <cacheHierarchy uniqueName="[Table3].[Sales]" caption="Sales" attribute="1" defaultMemberUniqueName="[Table3].[Sales].[All]" allUniqueName="[Table3].[Sales].[All]" dimensionUniqueName="[Table3]" displayFolder="" count="0" memberValueDatatype="5" unbalanced="0"/>
    <cacheHierarchy uniqueName="[Table3].[Order_Date (Month)]" caption="Order_Date (Month)" attribute="1" defaultMemberUniqueName="[Table3].[Order_Date (Month)].[All]" allUniqueName="[Table3].[Order_Date (Month)].[All]" dimensionUniqueName="[Table3]" displayFolder="" count="2" memberValueDatatype="130" unbalanced="0">
      <fieldsUsage count="2">
        <fieldUsage x="-1"/>
        <fieldUsage x="4"/>
      </fieldsUsage>
    </cacheHierarchy>
    <cacheHierarchy uniqueName="[Table3].[Names]" caption="Names" attribute="1" defaultMemberUniqueName="[Table3].[Names].[All]" allUniqueName="[Table3].[Names].[All]" dimensionUniqueName="[Table3]" displayFolder="" count="0" memberValueDatatype="130" unbalanced="0"/>
    <cacheHierarchy uniqueName="[Table3].[Proudcts]" caption="Proudcts" attribute="1" defaultMemberUniqueName="[Table3].[Proudcts].[All]" allUniqueName="[Table3].[Proudcts].[All]" dimensionUniqueName="[Table3]" displayFolder="" count="0" memberValueDatatype="130" unbalanced="0"/>
    <cacheHierarchy uniqueName="[Table3].[Order_Date (Month Index)]" caption="Order_Date (Month Index)" attribute="1" defaultMemberUniqueName="[Table3].[Order_Date (Month Index)].[All]" allUniqueName="[Table3].[Order_Date (Month Index)].[All]" dimensionUniqueName="[Table3]" displayFolder="" count="0" memberValueDatatype="20" unbalanced="0" hidden="1"/>
    <cacheHierarchy uniqueName="[Measures].[__XL_Count Range 1]" caption="__XL_Count Range 1" measure="1" displayFolder="" measureGroup="Range 1" count="0" hidden="1"/>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PROUDCTS]" caption="__XL_Count PROUDCTS" measure="1" displayFolder="" measureGroup="PROUDCTS" count="0" hidden="1"/>
    <cacheHierarchy uniqueName="[Measures].[__XL_Count Customers_1]" caption="__XL_Count Customers_1" measure="1" displayFolder="" measureGroup="Customers_1" count="0" hidden="1"/>
    <cacheHierarchy uniqueName="[Measures].[__No measures defined]" caption="__No measures defined" measure="1" displayFolder="" count="0" hidden="1"/>
    <cacheHierarchy uniqueName="[Measures].[Sum of Price]" caption="Sum of Price" measure="1" displayFolder="" measureGroup="Range 1" count="0" hidden="1">
      <extLst>
        <ext xmlns:x15="http://schemas.microsoft.com/office/spreadsheetml/2010/11/main" uri="{B97F6D7D-B522-45F9-BDA1-12C45D357490}">
          <x15:cacheHierarchy aggregatedColumn="21"/>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3"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ustomer_ID 2]" caption="Sum of Customer_ID 2" measure="1" displayFolder="" measureGroup="Table3" count="0" hidden="1">
      <extLst>
        <ext xmlns:x15="http://schemas.microsoft.com/office/spreadsheetml/2010/11/main" uri="{B97F6D7D-B522-45F9-BDA1-12C45D357490}">
          <x15:cacheHierarchy aggregatedColumn="24"/>
        </ext>
      </extLst>
    </cacheHierarchy>
    <cacheHierarchy uniqueName="[Measures].[Count of Order_Date (Month)]" caption="Count of Order_Date (Month)" measure="1" displayFolder="" measureGroup="Table3"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Table3"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Table3"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6">
    <dimension name="Customers_1" uniqueName="[Customers_1]" caption="Customers_1"/>
    <dimension measure="1" name="Measures" uniqueName="[Measures]" caption="Measures"/>
    <dimension name="PROUDCTS" uniqueName="[PROUDCTS]" caption="PROUDCTS"/>
    <dimension name="Range" uniqueName="[Range]" caption="Range"/>
    <dimension name="Range 1" uniqueName="[Range 1]" caption="Range 1"/>
    <dimension name="Table3" uniqueName="[Table3]" caption="Table3"/>
  </dimensions>
  <measureGroups count="5">
    <measureGroup name="Customers_1" caption="Customers_1"/>
    <measureGroup name="PROUDCTS" caption="PROUDCTS"/>
    <measureGroup name="Range" caption="Range"/>
    <measureGroup name="Range 1" caption="Range 1"/>
    <measureGroup name="Table3" caption="Table3"/>
  </measureGroups>
  <maps count="7">
    <map measureGroup="0" dimension="0"/>
    <map measureGroup="1" dimension="2"/>
    <map measureGroup="2" dimension="3"/>
    <map measureGroup="3" dimension="4"/>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 refreshedDate="46064.89237627315" backgroundQuery="1" createdVersion="8" refreshedVersion="8" minRefreshableVersion="3" recordCount="0" supportSubquery="1" supportAdvancedDrill="1" xr:uid="{058586DA-3F7A-46DA-863B-6A4EA160B613}">
  <cacheSource type="external" connectionId="1"/>
  <cacheFields count="5">
    <cacheField name="[Measures].[Sum of Sales]" caption="Sum of Sales" numFmtId="0" hierarchy="41" level="32767"/>
    <cacheField name="[Customers_1].[City].[City]" caption="City" numFmtId="0" hierarchy="2" level="1">
      <sharedItems count="4">
        <s v="Al Dammam"/>
        <s v="Jeddah"/>
        <s v="Makkah"/>
        <s v="Riyadh"/>
      </sharedItems>
    </cacheField>
    <cacheField name="[PROUDCTS].[Brand].[Brand]" caption="Brand" numFmtId="0" hierarchy="7" level="1">
      <sharedItems containsSemiMixedTypes="0" containsNonDate="0" containsString="0"/>
    </cacheField>
    <cacheField name="[Table3].[Order_Date (Month)].[Order_Date (Month)]" caption="Order_Date (Month)" numFmtId="0" hierarchy="29" level="1">
      <sharedItems containsSemiMixedTypes="0" containsNonDate="0" containsString="0"/>
    </cacheField>
    <cacheField name="[PROUDCTS].[Category].[Category]" caption="Category" numFmtId="0" hierarchy="8" level="1">
      <sharedItems containsSemiMixedTypes="0" containsNonDate="0" containsString="0"/>
    </cacheField>
  </cacheFields>
  <cacheHierarchies count="46">
    <cacheHierarchy uniqueName="[Customers_1].[Customer_ID]" caption="Customer_ID" attribute="1" defaultMemberUniqueName="[Customers_1].[Customer_ID].[All]" allUniqueName="[Customers_1].[Customer_ID].[All]" dimensionUniqueName="[Customers_1]" displayFolder="" count="0" memberValueDatatype="20" unbalanced="0"/>
    <cacheHierarchy uniqueName="[Customers_1].[Customer_Name]" caption="Customer_Name" attribute="1" defaultMemberUniqueName="[Customers_1].[Customer_Name].[All]" allUniqueName="[Customers_1].[Customer_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2" memberValueDatatype="130" unbalanced="0">
      <fieldsUsage count="2">
        <fieldUsage x="-1"/>
        <fieldUsage x="1"/>
      </fieldsUsage>
    </cacheHierarchy>
    <cacheHierarchy uniqueName="[Customers_1].[Phone_Number]" caption="Phone_Number" attribute="1" defaultMemberUniqueName="[Customers_1].[Phone_Number].[All]" allUniqueName="[Customers_1].[Phone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PROUDCTS].[Prodct_ID]" caption="Prodct_ID" attribute="1" defaultMemberUniqueName="[PROUDCTS].[Prodct_ID].[All]" allUniqueName="[PROUDCTS].[Prodct_ID].[All]" dimensionUniqueName="[PROUDCTS]" displayFolder="" count="0" memberValueDatatype="20" unbalanced="0"/>
    <cacheHierarchy uniqueName="[PROUDCTS].[Product_Name]" caption="Product_Name" attribute="1" defaultMemberUniqueName="[PROUDCTS].[Product_Name].[All]" allUniqueName="[PROUDCTS].[Product_Name].[All]" dimensionUniqueName="[PROUDCTS]" displayFolder="" count="0" memberValueDatatype="130" unbalanced="0"/>
    <cacheHierarchy uniqueName="[PROUDCTS].[Brand]" caption="Brand" attribute="1" defaultMemberUniqueName="[PROUDCTS].[Brand].[All]" allUniqueName="[PROUDCTS].[Brand].[All]" dimensionUniqueName="[PROUDCTS]" displayFolder="" count="2" memberValueDatatype="130" unbalanced="0">
      <fieldsUsage count="2">
        <fieldUsage x="-1"/>
        <fieldUsage x="2"/>
      </fieldsUsage>
    </cacheHierarchy>
    <cacheHierarchy uniqueName="[PROUDCTS].[Category]" caption="Category" attribute="1" defaultMemberUniqueName="[PROUDCTS].[Category].[All]" allUniqueName="[PROUDCTS].[Category].[All]" dimensionUniqueName="[PROUDCTS]" displayFolder="" count="2" memberValueDatatype="130" unbalanced="0">
      <fieldsUsage count="2">
        <fieldUsage x="-1"/>
        <fieldUsage x="4"/>
      </fieldsUsage>
    </cacheHierarchy>
    <cacheHierarchy uniqueName="[PROUDCTS].[Price]" caption="Price" attribute="1" defaultMemberUniqueName="[PROUDCTS].[Price].[All]" allUniqueName="[PROUDCTS].[Price].[All]" dimensionUniqueName="[PROUDCTS]" displayFolder="" count="0" memberValueDatatype="20" unbalanced="0"/>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ID]" caption="Product_ID" attribute="1" defaultMemberUniqueName="[Range].[Product_ID].[All]" allUniqueName="[Range].[Product_I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 1].[Prodct_ID]" caption="Prodct_ID" attribute="1" defaultMemberUniqueName="[Range 1].[Prodct_ID].[All]" allUniqueName="[Range 1].[Prod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Brand]" caption="Brand" attribute="1" defaultMemberUniqueName="[Range 1].[Brand].[All]" allUniqueName="[Range 1].[Bran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time="1" defaultMemberUniqueName="[Table3].[Order_Date].[All]" allUniqueName="[Table3].[Order_Date].[All]" dimensionUniqueName="[Table3]" displayFolder="" count="0" memberValueDatatype="7" unbalanced="0"/>
    <cacheHierarchy uniqueName="[Table3].[Customer_ID]" caption="Customer_ID" attribute="1" defaultMemberUniqueName="[Table3].[Customer_ID].[All]" allUniqueName="[Table3].[Customer_ID].[All]" dimensionUniqueName="[Table3]" displayFolder="" count="0" memberValueDatatype="20" unbalanced="0"/>
    <cacheHierarchy uniqueName="[Table3].[Product_ID]" caption="Product_ID" attribute="1" defaultMemberUniqueName="[Table3].[Product_ID].[All]" allUniqueName="[Table3].[Product_ID].[All]" dimensionUniqueName="[Table3]" displayFolder="" count="0" memberValueDatatype="20" unbalanced="0"/>
    <cacheHierarchy uniqueName="[Table3].[Quantity]" caption="Quantity" attribute="1" defaultMemberUniqueName="[Table3].[Quantity].[All]" allUniqueName="[Table3].[Quantity].[All]" dimensionUniqueName="[Table3]" displayFolder="" count="0" memberValueDatatype="5" unbalanced="0"/>
    <cacheHierarchy uniqueName="[Table3].[Unit_Price]" caption="Unit_Price" attribute="1" defaultMemberUniqueName="[Table3].[Unit_Price].[All]" allUniqueName="[Table3].[Unit_Price].[All]" dimensionUniqueName="[Table3]" displayFolder="" count="0" memberValueDatatype="20" unbalanced="0"/>
    <cacheHierarchy uniqueName="[Table3].[Sales]" caption="Sales" attribute="1" defaultMemberUniqueName="[Table3].[Sales].[All]" allUniqueName="[Table3].[Sales].[All]" dimensionUniqueName="[Table3]" displayFolder="" count="0" memberValueDatatype="5" unbalanced="0"/>
    <cacheHierarchy uniqueName="[Table3].[Order_Date (Month)]" caption="Order_Date (Month)" attribute="1" defaultMemberUniqueName="[Table3].[Order_Date (Month)].[All]" allUniqueName="[Table3].[Order_Date (Month)].[All]" dimensionUniqueName="[Table3]" displayFolder="" count="2" memberValueDatatype="130" unbalanced="0">
      <fieldsUsage count="2">
        <fieldUsage x="-1"/>
        <fieldUsage x="3"/>
      </fieldsUsage>
    </cacheHierarchy>
    <cacheHierarchy uniqueName="[Table3].[Names]" caption="Names" attribute="1" defaultMemberUniqueName="[Table3].[Names].[All]" allUniqueName="[Table3].[Names].[All]" dimensionUniqueName="[Table3]" displayFolder="" count="0" memberValueDatatype="130" unbalanced="0"/>
    <cacheHierarchy uniqueName="[Table3].[Proudcts]" caption="Proudcts" attribute="1" defaultMemberUniqueName="[Table3].[Proudcts].[All]" allUniqueName="[Table3].[Proudcts].[All]" dimensionUniqueName="[Table3]" displayFolder="" count="0" memberValueDatatype="130" unbalanced="0"/>
    <cacheHierarchy uniqueName="[Table3].[Order_Date (Month Index)]" caption="Order_Date (Month Index)" attribute="1" defaultMemberUniqueName="[Table3].[Order_Date (Month Index)].[All]" allUniqueName="[Table3].[Order_Date (Month Index)].[All]" dimensionUniqueName="[Table3]" displayFolder="" count="0" memberValueDatatype="20" unbalanced="0" hidden="1"/>
    <cacheHierarchy uniqueName="[Measures].[__XL_Count Range 1]" caption="__XL_Count Range 1" measure="1" displayFolder="" measureGroup="Range 1" count="0" hidden="1"/>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PROUDCTS]" caption="__XL_Count PROUDCTS" measure="1" displayFolder="" measureGroup="PROUDCTS" count="0" hidden="1"/>
    <cacheHierarchy uniqueName="[Measures].[__XL_Count Customers_1]" caption="__XL_Count Customers_1" measure="1" displayFolder="" measureGroup="Customers_1" count="0" hidden="1"/>
    <cacheHierarchy uniqueName="[Measures].[__No measures defined]" caption="__No measures defined" measure="1" displayFolder="" count="0" hidden="1"/>
    <cacheHierarchy uniqueName="[Measures].[Sum of Price]" caption="Sum of Price" measure="1" displayFolder="" measureGroup="Range 1" count="0" hidden="1">
      <extLst>
        <ext xmlns:x15="http://schemas.microsoft.com/office/spreadsheetml/2010/11/main" uri="{B97F6D7D-B522-45F9-BDA1-12C45D357490}">
          <x15:cacheHierarchy aggregatedColumn="21"/>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3"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ustomer_ID 2]" caption="Sum of Customer_ID 2" measure="1" displayFolder="" measureGroup="Table3" count="0" hidden="1">
      <extLst>
        <ext xmlns:x15="http://schemas.microsoft.com/office/spreadsheetml/2010/11/main" uri="{B97F6D7D-B522-45F9-BDA1-12C45D357490}">
          <x15:cacheHierarchy aggregatedColumn="24"/>
        </ext>
      </extLst>
    </cacheHierarchy>
    <cacheHierarchy uniqueName="[Measures].[Count of Order_Date (Month)]" caption="Count of Order_Date (Month)" measure="1" displayFolder="" measureGroup="Table3"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Table3"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Table3" count="0" hidden="1">
      <extLst>
        <ext xmlns:x15="http://schemas.microsoft.com/office/spreadsheetml/2010/11/main" uri="{B97F6D7D-B522-45F9-BDA1-12C45D357490}">
          <x15:cacheHierarchy aggregatedColumn="22"/>
        </ext>
      </extLst>
    </cacheHierarchy>
  </cacheHierarchies>
  <kpis count="0"/>
  <dimensions count="6">
    <dimension name="Customers_1" uniqueName="[Customers_1]" caption="Customers_1"/>
    <dimension measure="1" name="Measures" uniqueName="[Measures]" caption="Measures"/>
    <dimension name="PROUDCTS" uniqueName="[PROUDCTS]" caption="PROUDCTS"/>
    <dimension name="Range" uniqueName="[Range]" caption="Range"/>
    <dimension name="Range 1" uniqueName="[Range 1]" caption="Range 1"/>
    <dimension name="Table3" uniqueName="[Table3]" caption="Table3"/>
  </dimensions>
  <measureGroups count="5">
    <measureGroup name="Customers_1" caption="Customers_1"/>
    <measureGroup name="PROUDCTS" caption="PROUDCTS"/>
    <measureGroup name="Range" caption="Range"/>
    <measureGroup name="Range 1" caption="Range 1"/>
    <measureGroup name="Table3" caption="Table3"/>
  </measureGroups>
  <maps count="7">
    <map measureGroup="0" dimension="0"/>
    <map measureGroup="1" dimension="2"/>
    <map measureGroup="2" dimension="3"/>
    <map measureGroup="3" dimension="4"/>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 refreshedDate="46064.892367824075" backgroundQuery="1" createdVersion="8" refreshedVersion="8" minRefreshableVersion="3" recordCount="0" supportSubquery="1" supportAdvancedDrill="1" xr:uid="{2BEF1FE3-F3DB-4EC0-9E76-B552E2861EE6}">
  <cacheSource type="external" connectionId="1"/>
  <cacheFields count="2">
    <cacheField name="[Table3].[Order_Date (Month)].[Order_Date (Month)]" caption="Order_Date (Month)" numFmtId="0" hierarchy="29" level="1">
      <sharedItems count="4">
        <s v="Sep"/>
        <s v="Oct"/>
        <s v="Nov"/>
        <s v="Dec"/>
      </sharedItems>
    </cacheField>
    <cacheField name="[Measures].[Sum of Sales]" caption="Sum of Sales" numFmtId="0" hierarchy="41" level="32767"/>
  </cacheFields>
  <cacheHierarchies count="46">
    <cacheHierarchy uniqueName="[Customers_1].[Customer_ID]" caption="Customer_ID" attribute="1" defaultMemberUniqueName="[Customers_1].[Customer_ID].[All]" allUniqueName="[Customers_1].[Customer_ID].[All]" dimensionUniqueName="[Customers_1]" displayFolder="" count="0" memberValueDatatype="20" unbalanced="0"/>
    <cacheHierarchy uniqueName="[Customers_1].[Customer_Name]" caption="Customer_Name" attribute="1" defaultMemberUniqueName="[Customers_1].[Customer_Name].[All]" allUniqueName="[Customers_1].[Customer_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0" memberValueDatatype="130" unbalanced="0"/>
    <cacheHierarchy uniqueName="[Customers_1].[Phone_Number]" caption="Phone_Number" attribute="1" defaultMemberUniqueName="[Customers_1].[Phone_Number].[All]" allUniqueName="[Customers_1].[Phone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PROUDCTS].[Prodct_ID]" caption="Prodct_ID" attribute="1" defaultMemberUniqueName="[PROUDCTS].[Prodct_ID].[All]" allUniqueName="[PROUDCTS].[Prodct_ID].[All]" dimensionUniqueName="[PROUDCTS]" displayFolder="" count="0" memberValueDatatype="20" unbalanced="0"/>
    <cacheHierarchy uniqueName="[PROUDCTS].[Product_Name]" caption="Product_Name" attribute="1" defaultMemberUniqueName="[PROUDCTS].[Product_Name].[All]" allUniqueName="[PROUDCTS].[Product_Name].[All]" dimensionUniqueName="[PROUDCTS]" displayFolder="" count="0" memberValueDatatype="130" unbalanced="0"/>
    <cacheHierarchy uniqueName="[PROUDCTS].[Brand]" caption="Brand" attribute="1" defaultMemberUniqueName="[PROUDCTS].[Brand].[All]" allUniqueName="[PROUDCTS].[Brand].[All]" dimensionUniqueName="[PROUDCTS]" displayFolder="" count="0" memberValueDatatype="130" unbalanced="0"/>
    <cacheHierarchy uniqueName="[PROUDCTS].[Category]" caption="Category" attribute="1" defaultMemberUniqueName="[PROUDCTS].[Category].[All]" allUniqueName="[PROUDCTS].[Category].[All]" dimensionUniqueName="[PROUDCTS]" displayFolder="" count="0" memberValueDatatype="130" unbalanced="0"/>
    <cacheHierarchy uniqueName="[PROUDCTS].[Price]" caption="Price" attribute="1" defaultMemberUniqueName="[PROUDCTS].[Price].[All]" allUniqueName="[PROUDCTS].[Price].[All]" dimensionUniqueName="[PROUDCTS]" displayFolder="" count="0" memberValueDatatype="20" unbalanced="0"/>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ID]" caption="Product_ID" attribute="1" defaultMemberUniqueName="[Range].[Product_ID].[All]" allUniqueName="[Range].[Product_I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 1].[Prodct_ID]" caption="Prodct_ID" attribute="1" defaultMemberUniqueName="[Range 1].[Prodct_ID].[All]" allUniqueName="[Range 1].[Prod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Brand]" caption="Brand" attribute="1" defaultMemberUniqueName="[Range 1].[Brand].[All]" allUniqueName="[Range 1].[Bran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time="1" defaultMemberUniqueName="[Table3].[Order_Date].[All]" allUniqueName="[Table3].[Order_Date].[All]" dimensionUniqueName="[Table3]" displayFolder="" count="0" memberValueDatatype="7" unbalanced="0"/>
    <cacheHierarchy uniqueName="[Table3].[Customer_ID]" caption="Customer_ID" attribute="1" defaultMemberUniqueName="[Table3].[Customer_ID].[All]" allUniqueName="[Table3].[Customer_ID].[All]" dimensionUniqueName="[Table3]" displayFolder="" count="0" memberValueDatatype="20" unbalanced="0"/>
    <cacheHierarchy uniqueName="[Table3].[Product_ID]" caption="Product_ID" attribute="1" defaultMemberUniqueName="[Table3].[Product_ID].[All]" allUniqueName="[Table3].[Product_ID].[All]" dimensionUniqueName="[Table3]" displayFolder="" count="0" memberValueDatatype="20" unbalanced="0"/>
    <cacheHierarchy uniqueName="[Table3].[Quantity]" caption="Quantity" attribute="1" defaultMemberUniqueName="[Table3].[Quantity].[All]" allUniqueName="[Table3].[Quantity].[All]" dimensionUniqueName="[Table3]" displayFolder="" count="0" memberValueDatatype="5" unbalanced="0"/>
    <cacheHierarchy uniqueName="[Table3].[Unit_Price]" caption="Unit_Price" attribute="1" defaultMemberUniqueName="[Table3].[Unit_Price].[All]" allUniqueName="[Table3].[Unit_Price].[All]" dimensionUniqueName="[Table3]" displayFolder="" count="0" memberValueDatatype="20" unbalanced="0"/>
    <cacheHierarchy uniqueName="[Table3].[Sales]" caption="Sales" attribute="1" defaultMemberUniqueName="[Table3].[Sales].[All]" allUniqueName="[Table3].[Sales].[All]" dimensionUniqueName="[Table3]" displayFolder="" count="0" memberValueDatatype="5" unbalanced="0"/>
    <cacheHierarchy uniqueName="[Table3].[Order_Date (Month)]" caption="Order_Date (Month)" attribute="1" defaultMemberUniqueName="[Table3].[Order_Date (Month)].[All]" allUniqueName="[Table3].[Order_Date (Month)].[All]" dimensionUniqueName="[Table3]" displayFolder="" count="2" memberValueDatatype="130" unbalanced="0">
      <fieldsUsage count="2">
        <fieldUsage x="-1"/>
        <fieldUsage x="0"/>
      </fieldsUsage>
    </cacheHierarchy>
    <cacheHierarchy uniqueName="[Table3].[Names]" caption="Names" attribute="1" defaultMemberUniqueName="[Table3].[Names].[All]" allUniqueName="[Table3].[Names].[All]" dimensionUniqueName="[Table3]" displayFolder="" count="0" memberValueDatatype="130" unbalanced="0"/>
    <cacheHierarchy uniqueName="[Table3].[Proudcts]" caption="Proudcts" attribute="1" defaultMemberUniqueName="[Table3].[Proudcts].[All]" allUniqueName="[Table3].[Proudcts].[All]" dimensionUniqueName="[Table3]" displayFolder="" count="0" memberValueDatatype="130" unbalanced="0"/>
    <cacheHierarchy uniqueName="[Table3].[Order_Date (Month Index)]" caption="Order_Date (Month Index)" attribute="1" defaultMemberUniqueName="[Table3].[Order_Date (Month Index)].[All]" allUniqueName="[Table3].[Order_Date (Month Index)].[All]" dimensionUniqueName="[Table3]" displayFolder="" count="0" memberValueDatatype="20" unbalanced="0" hidden="1"/>
    <cacheHierarchy uniqueName="[Measures].[__XL_Count Range 1]" caption="__XL_Count Range 1" measure="1" displayFolder="" measureGroup="Range 1" count="0" hidden="1"/>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PROUDCTS]" caption="__XL_Count PROUDCTS" measure="1" displayFolder="" measureGroup="PROUDCTS" count="0" hidden="1"/>
    <cacheHierarchy uniqueName="[Measures].[__XL_Count Customers_1]" caption="__XL_Count Customers_1" measure="1" displayFolder="" measureGroup="Customers_1" count="0" hidden="1"/>
    <cacheHierarchy uniqueName="[Measures].[__No measures defined]" caption="__No measures defined" measure="1" displayFolder="" count="0" hidden="1"/>
    <cacheHierarchy uniqueName="[Measures].[Sum of Price]" caption="Sum of Price" measure="1" displayFolder="" measureGroup="Range 1" count="0" hidden="1">
      <extLst>
        <ext xmlns:x15="http://schemas.microsoft.com/office/spreadsheetml/2010/11/main" uri="{B97F6D7D-B522-45F9-BDA1-12C45D357490}">
          <x15:cacheHierarchy aggregatedColumn="21"/>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3"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Customer_ID 2]" caption="Sum of Customer_ID 2" measure="1" displayFolder="" measureGroup="Table3" count="0" hidden="1">
      <extLst>
        <ext xmlns:x15="http://schemas.microsoft.com/office/spreadsheetml/2010/11/main" uri="{B97F6D7D-B522-45F9-BDA1-12C45D357490}">
          <x15:cacheHierarchy aggregatedColumn="24"/>
        </ext>
      </extLst>
    </cacheHierarchy>
    <cacheHierarchy uniqueName="[Measures].[Count of Order_Date (Month)]" caption="Count of Order_Date (Month)" measure="1" displayFolder="" measureGroup="Table3"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Table3"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Table3" count="0" hidden="1">
      <extLst>
        <ext xmlns:x15="http://schemas.microsoft.com/office/spreadsheetml/2010/11/main" uri="{B97F6D7D-B522-45F9-BDA1-12C45D357490}">
          <x15:cacheHierarchy aggregatedColumn="22"/>
        </ext>
      </extLst>
    </cacheHierarchy>
  </cacheHierarchies>
  <kpis count="0"/>
  <dimensions count="6">
    <dimension name="Customers_1" uniqueName="[Customers_1]" caption="Customers_1"/>
    <dimension measure="1" name="Measures" uniqueName="[Measures]" caption="Measures"/>
    <dimension name="PROUDCTS" uniqueName="[PROUDCTS]" caption="PROUDCTS"/>
    <dimension name="Range" uniqueName="[Range]" caption="Range"/>
    <dimension name="Range 1" uniqueName="[Range 1]" caption="Range 1"/>
    <dimension name="Table3" uniqueName="[Table3]" caption="Table3"/>
  </dimensions>
  <measureGroups count="5">
    <measureGroup name="Customers_1" caption="Customers_1"/>
    <measureGroup name="PROUDCTS" caption="PROUDCTS"/>
    <measureGroup name="Range" caption="Range"/>
    <measureGroup name="Range 1" caption="Range 1"/>
    <measureGroup name="Table3" caption="Table3"/>
  </measureGroups>
  <maps count="7">
    <map measureGroup="0" dimension="0"/>
    <map measureGroup="1" dimension="2"/>
    <map measureGroup="2" dimension="3"/>
    <map measureGroup="3" dimension="4"/>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 refreshedDate="46064.892379398145" backgroundQuery="1" createdVersion="8" refreshedVersion="8" minRefreshableVersion="3" recordCount="0" supportSubquery="1" supportAdvancedDrill="1" xr:uid="{C3B103FF-3B31-4427-9B78-50159B54A491}">
  <cacheSource type="external" connectionId="1"/>
  <cacheFields count="6">
    <cacheField name="[Customers_1].[Customer_Name].[Customer_Name]" caption="Customer_Name" numFmtId="0" hierarchy="1" level="1">
      <sharedItems count="145">
        <s v=" Abdulaziz Khalaf"/>
        <s v=" Abdulilah Faraj"/>
        <s v=" Abdullah Sami"/>
        <s v=" Abdulrahman Saeed"/>
        <s v=" Abeer Saif"/>
        <s v=" Adel Yaqoub"/>
        <s v=" Ahmed Faris"/>
        <s v=" Aisha Saeed"/>
        <s v=" Amal Fouad"/>
        <s v=" Amani Lutfi"/>
        <s v=" Anas Qudsi"/>
        <s v=" Aya Mahmoud"/>
        <s v=" Bader Hilal"/>
        <s v=" Bandar Saleh"/>
        <s v=" Basel Mustafa"/>
        <s v=" Bilal Farhan"/>
        <s v=" Bushra Amin"/>
        <s v=" Dalia Hassan"/>
        <s v=" Dana Faisal"/>
        <s v=" Duaa Munir"/>
        <s v=" Eman Samir"/>
        <s v=" Fahad Turki"/>
        <s v=" Fahd Salem"/>
        <s v=" Faisal Mohammed"/>
        <s v=" Farah Issa"/>
        <s v=" Fatimah Kareem"/>
        <s v=" Ghada Bassam"/>
        <s v=" Hala Mazin"/>
        <s v=" Hamad Ibrahim"/>
        <s v=" Hanan Adel"/>
        <s v=" Hassan Ali"/>
        <s v=" Haytham Rami"/>
        <s v=" Heba Ismail"/>
        <s v=" Hiba Taleb"/>
        <s v=" Huda Saleh"/>
        <s v=" Ibrahim Tarek"/>
        <s v=" Ikram Yusuf"/>
        <s v=" Ilham Zaki"/>
        <s v=" Inas Tamer"/>
        <s v=" Jamal Nasser"/>
        <s v=" Khalaf Abdullah"/>
        <s v=" Khaled Ibrahim"/>
        <s v=" Laila Qasim"/>
        <s v=" Lama Aref"/>
        <s v=" Lina Abdulrahman"/>
        <s v=" Lubna Khalil"/>
        <s v=" Maha Yasin"/>
        <s v=" Mai Reda"/>
        <s v=" Majed Abdullah"/>
        <s v=" Mariam Anwar"/>
        <s v=" Marwan Tawfiq"/>
        <s v=" Mazen Hatem"/>
        <s v=" Mishal Saud"/>
        <s v=" Mohammed Aziz"/>
        <s v=" Mona Hisham"/>
        <s v=" Muneer Sami"/>
        <s v=" Muteb Khalid"/>
        <s v=" Nada Refaat"/>
        <s v=" Najlaa Sami"/>
        <s v=" Nasser Hamad"/>
        <s v=" Nawaf Abdullah"/>
        <s v=" Nawaf Badr"/>
        <s v=" Noor Abdullah"/>
        <s v=" Noura Majed"/>
        <s v=" Nourhan Fadi"/>
        <s v=" Omar Hassan"/>
        <s v=" Osama Jamal"/>
        <s v=" Qasem Naji"/>
        <s v=" Raghad Samer"/>
        <s v=" Rana Bilal"/>
        <s v=" Rania Sultan"/>
        <s v=" Rashed Ali"/>
        <s v=" Rawan Mazen"/>
        <s v=" Reem Adel"/>
        <s v=" Rima Ziad"/>
        <s v=" Riyadh Mansour"/>
        <s v=" Saad Mutlaq"/>
        <s v=" Saeed Kanaan"/>
        <s v=" Sahar Jibril"/>
        <s v=" Salma Yousif"/>
        <s v=" Salman Rashid"/>
        <s v=" Sami Fawzi"/>
        <s v=" Sara Khalid"/>
        <s v=" Sawsan Akram"/>
        <s v=" Shatha Omar"/>
        <s v=" Shurooq Adel"/>
        <s v=" Suha Qais"/>
        <s v=" Sulaiman Raad"/>
        <s v=" Sultan Fahd"/>
        <s v=" Talal Nawaf"/>
        <s v=" Tariq Abdulaziz"/>
        <s v=" Tasneem Hani"/>
        <s v=" Turki Salman"/>
        <s v=" Walid Ashraf"/>
        <s v=" Yasmin Nabil"/>
        <s v=" Yazan Kareem"/>
        <s v=" Youssef Nasser"/>
        <s v=" Zaid Omar"/>
        <s v="Abdulaziz Sultan"/>
        <s v="Abdullalkrem Saud"/>
        <s v="Ahmed Ali"/>
        <s v="Ahmed Ismail"/>
        <s v="Ali Ahmed"/>
        <s v="Ali Saud"/>
        <s v="Arwa ahmed"/>
        <s v="Dalal Turky"/>
        <s v="Hamdan Abdullah"/>
        <s v="Jahed Eid"/>
        <s v="Khalid Naseer"/>
        <s v="Majed Naser"/>
        <s v="Manaf Ahmed"/>
        <s v="Mnerh Ahmed"/>
        <s v="Mohamed Fahad"/>
        <s v="Mohammed abdullaziz"/>
        <s v="Mohammed Ali"/>
        <s v="Mona Mnasor"/>
        <s v="Mona Salah"/>
        <s v="Mona Sari"/>
        <s v="Nada Ali"/>
        <s v="Ndeem Ali"/>
        <s v="Norah Abdullah"/>
        <s v="Norah Mohammed"/>
        <s v="Omar Rashid"/>
        <s v="Omer Abdulaziz"/>
        <s v="Omer Ahmed"/>
        <s v="Omer Salman"/>
        <s v="Othman Khalid"/>
        <s v="Rayan Abdullah"/>
        <s v="Razan Yousef"/>
        <s v="Reem Faisal"/>
        <s v="Saad Ahmed"/>
        <s v="Sara Abdullah"/>
        <s v="Sara Mohammed"/>
        <s v="Sari Majhed"/>
        <s v="Shahd Abdullah"/>
        <s v="Sleam Eid"/>
        <s v="Soha Yousef"/>
        <s v="Turky Abdullah"/>
        <s v="Turky Ali"/>
        <s v="Waled Ibrahem"/>
        <s v="Yara Mohammed"/>
        <s v="Yasser Fasial"/>
        <s v="Yasser Mfrah"/>
        <s v="Yousef Ali"/>
        <s v="Yousef Mohammed"/>
      </sharedItems>
    </cacheField>
    <cacheField name="[Measures].[Sum of Sales]" caption="Sum of Sales" numFmtId="0" hierarchy="41" level="32767"/>
    <cacheField name="[Customers_1].[City].[City]" caption="City" numFmtId="0" hierarchy="2" level="1">
      <sharedItems containsSemiMixedTypes="0" containsNonDate="0" containsString="0"/>
    </cacheField>
    <cacheField name="[Table3].[Order_Date (Month)].[Order_Date (Month)]" caption="Order_Date (Month)" numFmtId="0" hierarchy="29" level="1">
      <sharedItems containsSemiMixedTypes="0" containsNonDate="0" containsString="0"/>
    </cacheField>
    <cacheField name="[PROUDCTS].[Brand].[Brand]" caption="Brand" numFmtId="0" hierarchy="7" level="1">
      <sharedItems containsSemiMixedTypes="0" containsNonDate="0" containsString="0"/>
    </cacheField>
    <cacheField name="[PROUDCTS].[Category].[Category]" caption="Category" numFmtId="0" hierarchy="8" level="1">
      <sharedItems containsSemiMixedTypes="0" containsNonDate="0" containsString="0"/>
    </cacheField>
  </cacheFields>
  <cacheHierarchies count="46">
    <cacheHierarchy uniqueName="[Customers_1].[Customer_ID]" caption="Customer_ID" attribute="1" defaultMemberUniqueName="[Customers_1].[Customer_ID].[All]" allUniqueName="[Customers_1].[Customer_ID].[All]" dimensionUniqueName="[Customers_1]" displayFolder="" count="0" memberValueDatatype="20" unbalanced="0"/>
    <cacheHierarchy uniqueName="[Customers_1].[Customer_Name]" caption="Customer_Name" attribute="1" defaultMemberUniqueName="[Customers_1].[Customer_Name].[All]" allUniqueName="[Customers_1].[Customer_Name].[All]" dimensionUniqueName="[Customers_1]" displayFolder="" count="2" memberValueDatatype="130" unbalanced="0">
      <fieldsUsage count="2">
        <fieldUsage x="-1"/>
        <fieldUsage x="0"/>
      </fieldsUsage>
    </cacheHierarchy>
    <cacheHierarchy uniqueName="[Customers_1].[City]" caption="City" attribute="1" defaultMemberUniqueName="[Customers_1].[City].[All]" allUniqueName="[Customers_1].[City].[All]" dimensionUniqueName="[Customers_1]" displayFolder="" count="2" memberValueDatatype="130" unbalanced="0">
      <fieldsUsage count="2">
        <fieldUsage x="-1"/>
        <fieldUsage x="2"/>
      </fieldsUsage>
    </cacheHierarchy>
    <cacheHierarchy uniqueName="[Customers_1].[Phone_Number]" caption="Phone_Number" attribute="1" defaultMemberUniqueName="[Customers_1].[Phone_Number].[All]" allUniqueName="[Customers_1].[Phone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PROUDCTS].[Prodct_ID]" caption="Prodct_ID" attribute="1" defaultMemberUniqueName="[PROUDCTS].[Prodct_ID].[All]" allUniqueName="[PROUDCTS].[Prodct_ID].[All]" dimensionUniqueName="[PROUDCTS]" displayFolder="" count="0" memberValueDatatype="20" unbalanced="0"/>
    <cacheHierarchy uniqueName="[PROUDCTS].[Product_Name]" caption="Product_Name" attribute="1" defaultMemberUniqueName="[PROUDCTS].[Product_Name].[All]" allUniqueName="[PROUDCTS].[Product_Name].[All]" dimensionUniqueName="[PROUDCTS]" displayFolder="" count="0" memberValueDatatype="130" unbalanced="0"/>
    <cacheHierarchy uniqueName="[PROUDCTS].[Brand]" caption="Brand" attribute="1" defaultMemberUniqueName="[PROUDCTS].[Brand].[All]" allUniqueName="[PROUDCTS].[Brand].[All]" dimensionUniqueName="[PROUDCTS]" displayFolder="" count="2" memberValueDatatype="130" unbalanced="0">
      <fieldsUsage count="2">
        <fieldUsage x="-1"/>
        <fieldUsage x="4"/>
      </fieldsUsage>
    </cacheHierarchy>
    <cacheHierarchy uniqueName="[PROUDCTS].[Category]" caption="Category" attribute="1" defaultMemberUniqueName="[PROUDCTS].[Category].[All]" allUniqueName="[PROUDCTS].[Category].[All]" dimensionUniqueName="[PROUDCTS]" displayFolder="" count="2" memberValueDatatype="130" unbalanced="0">
      <fieldsUsage count="2">
        <fieldUsage x="-1"/>
        <fieldUsage x="5"/>
      </fieldsUsage>
    </cacheHierarchy>
    <cacheHierarchy uniqueName="[PROUDCTS].[Price]" caption="Price" attribute="1" defaultMemberUniqueName="[PROUDCTS].[Price].[All]" allUniqueName="[PROUDCTS].[Price].[All]" dimensionUniqueName="[PROUDCTS]" displayFolder="" count="0" memberValueDatatype="20" unbalanced="0"/>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ID]" caption="Product_ID" attribute="1" defaultMemberUniqueName="[Range].[Product_ID].[All]" allUniqueName="[Range].[Product_I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 1].[Prodct_ID]" caption="Prodct_ID" attribute="1" defaultMemberUniqueName="[Range 1].[Prodct_ID].[All]" allUniqueName="[Range 1].[Prod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Brand]" caption="Brand" attribute="1" defaultMemberUniqueName="[Range 1].[Brand].[All]" allUniqueName="[Range 1].[Bran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time="1" defaultMemberUniqueName="[Table3].[Order_Date].[All]" allUniqueName="[Table3].[Order_Date].[All]" dimensionUniqueName="[Table3]" displayFolder="" count="0" memberValueDatatype="7" unbalanced="0"/>
    <cacheHierarchy uniqueName="[Table3].[Customer_ID]" caption="Customer_ID" attribute="1" defaultMemberUniqueName="[Table3].[Customer_ID].[All]" allUniqueName="[Table3].[Customer_ID].[All]" dimensionUniqueName="[Table3]" displayFolder="" count="0" memberValueDatatype="20" unbalanced="0"/>
    <cacheHierarchy uniqueName="[Table3].[Product_ID]" caption="Product_ID" attribute="1" defaultMemberUniqueName="[Table3].[Product_ID].[All]" allUniqueName="[Table3].[Product_ID].[All]" dimensionUniqueName="[Table3]" displayFolder="" count="0" memberValueDatatype="20" unbalanced="0"/>
    <cacheHierarchy uniqueName="[Table3].[Quantity]" caption="Quantity" attribute="1" defaultMemberUniqueName="[Table3].[Quantity].[All]" allUniqueName="[Table3].[Quantity].[All]" dimensionUniqueName="[Table3]" displayFolder="" count="0" memberValueDatatype="5" unbalanced="0"/>
    <cacheHierarchy uniqueName="[Table3].[Unit_Price]" caption="Unit_Price" attribute="1" defaultMemberUniqueName="[Table3].[Unit_Price].[All]" allUniqueName="[Table3].[Unit_Price].[All]" dimensionUniqueName="[Table3]" displayFolder="" count="0" memberValueDatatype="20" unbalanced="0"/>
    <cacheHierarchy uniqueName="[Table3].[Sales]" caption="Sales" attribute="1" defaultMemberUniqueName="[Table3].[Sales].[All]" allUniqueName="[Table3].[Sales].[All]" dimensionUniqueName="[Table3]" displayFolder="" count="0" memberValueDatatype="5" unbalanced="0"/>
    <cacheHierarchy uniqueName="[Table3].[Order_Date (Month)]" caption="Order_Date (Month)" attribute="1" defaultMemberUniqueName="[Table3].[Order_Date (Month)].[All]" allUniqueName="[Table3].[Order_Date (Month)].[All]" dimensionUniqueName="[Table3]" displayFolder="" count="2" memberValueDatatype="130" unbalanced="0">
      <fieldsUsage count="2">
        <fieldUsage x="-1"/>
        <fieldUsage x="3"/>
      </fieldsUsage>
    </cacheHierarchy>
    <cacheHierarchy uniqueName="[Table3].[Names]" caption="Names" attribute="1" defaultMemberUniqueName="[Table3].[Names].[All]" allUniqueName="[Table3].[Names].[All]" dimensionUniqueName="[Table3]" displayFolder="" count="0" memberValueDatatype="130" unbalanced="0"/>
    <cacheHierarchy uniqueName="[Table3].[Proudcts]" caption="Proudcts" attribute="1" defaultMemberUniqueName="[Table3].[Proudcts].[All]" allUniqueName="[Table3].[Proudcts].[All]" dimensionUniqueName="[Table3]" displayFolder="" count="0" memberValueDatatype="130" unbalanced="0"/>
    <cacheHierarchy uniqueName="[Table3].[Order_Date (Month Index)]" caption="Order_Date (Month Index)" attribute="1" defaultMemberUniqueName="[Table3].[Order_Date (Month Index)].[All]" allUniqueName="[Table3].[Order_Date (Month Index)].[All]" dimensionUniqueName="[Table3]" displayFolder="" count="0" memberValueDatatype="20" unbalanced="0" hidden="1"/>
    <cacheHierarchy uniqueName="[Measures].[__XL_Count Range 1]" caption="__XL_Count Range 1" measure="1" displayFolder="" measureGroup="Range 1" count="0" hidden="1"/>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PROUDCTS]" caption="__XL_Count PROUDCTS" measure="1" displayFolder="" measureGroup="PROUDCTS" count="0" hidden="1"/>
    <cacheHierarchy uniqueName="[Measures].[__XL_Count Customers_1]" caption="__XL_Count Customers_1" measure="1" displayFolder="" measureGroup="Customers_1" count="0" hidden="1"/>
    <cacheHierarchy uniqueName="[Measures].[__No measures defined]" caption="__No measures defined" measure="1" displayFolder="" count="0" hidden="1"/>
    <cacheHierarchy uniqueName="[Measures].[Sum of Price]" caption="Sum of Price" measure="1" displayFolder="" measureGroup="Range 1" count="0" hidden="1">
      <extLst>
        <ext xmlns:x15="http://schemas.microsoft.com/office/spreadsheetml/2010/11/main" uri="{B97F6D7D-B522-45F9-BDA1-12C45D357490}">
          <x15:cacheHierarchy aggregatedColumn="21"/>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3"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Customer_ID 2]" caption="Sum of Customer_ID 2" measure="1" displayFolder="" measureGroup="Table3" count="0" hidden="1">
      <extLst>
        <ext xmlns:x15="http://schemas.microsoft.com/office/spreadsheetml/2010/11/main" uri="{B97F6D7D-B522-45F9-BDA1-12C45D357490}">
          <x15:cacheHierarchy aggregatedColumn="24"/>
        </ext>
      </extLst>
    </cacheHierarchy>
    <cacheHierarchy uniqueName="[Measures].[Count of Order_Date (Month)]" caption="Count of Order_Date (Month)" measure="1" displayFolder="" measureGroup="Table3"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Table3"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Table3" count="0" hidden="1">
      <extLst>
        <ext xmlns:x15="http://schemas.microsoft.com/office/spreadsheetml/2010/11/main" uri="{B97F6D7D-B522-45F9-BDA1-12C45D357490}">
          <x15:cacheHierarchy aggregatedColumn="22"/>
        </ext>
      </extLst>
    </cacheHierarchy>
  </cacheHierarchies>
  <kpis count="0"/>
  <dimensions count="6">
    <dimension name="Customers_1" uniqueName="[Customers_1]" caption="Customers_1"/>
    <dimension measure="1" name="Measures" uniqueName="[Measures]" caption="Measures"/>
    <dimension name="PROUDCTS" uniqueName="[PROUDCTS]" caption="PROUDCTS"/>
    <dimension name="Range" uniqueName="[Range]" caption="Range"/>
    <dimension name="Range 1" uniqueName="[Range 1]" caption="Range 1"/>
    <dimension name="Table3" uniqueName="[Table3]" caption="Table3"/>
  </dimensions>
  <measureGroups count="5">
    <measureGroup name="Customers_1" caption="Customers_1"/>
    <measureGroup name="PROUDCTS" caption="PROUDCTS"/>
    <measureGroup name="Range" caption="Range"/>
    <measureGroup name="Range 1" caption="Range 1"/>
    <measureGroup name="Table3" caption="Table3"/>
  </measureGroups>
  <maps count="7">
    <map measureGroup="0" dimension="0"/>
    <map measureGroup="1" dimension="2"/>
    <map measureGroup="2" dimension="3"/>
    <map measureGroup="3" dimension="4"/>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 refreshedDate="46064.892377662036" backgroundQuery="1" createdVersion="8" refreshedVersion="8" minRefreshableVersion="3" recordCount="0" supportSubquery="1" supportAdvancedDrill="1" xr:uid="{F2934B26-09B0-4411-9118-A45DCCED9204}">
  <cacheSource type="external" connectionId="1"/>
  <cacheFields count="6">
    <cacheField name="[PROUDCTS].[Product_Name].[Product_Name]" caption="Product_Name" numFmtId="0" hierarchy="6" level="1">
      <sharedItems count="10">
        <s v="AMD Ryzen 9 7900x CPU"/>
        <s v="AMD Ryzen 9 9950X3D CPU"/>
        <s v="ASUS TUF Gaming VG27AQ 165Hz"/>
        <s v="Dell UltraSharp U2723QE Monitor"/>
        <s v="Intel Core i9-13900 CPU"/>
        <s v="Intel Core Ultra 7 265KF Tray CPU"/>
        <s v="MSI RTX 4070 Ti Super Gaming X"/>
        <s v="Palit GeForce RTX 5060 Infinity"/>
        <s v="Sapphire Nitro+ RX 7900 XTX"/>
        <s v="Sapphire PULSE AMD Radeon RX 9070 XT 16GB GPU"/>
      </sharedItems>
    </cacheField>
    <cacheField name="[Measures].[Sum of Sales]" caption="Sum of Sales" numFmtId="0" hierarchy="41" level="32767"/>
    <cacheField name="[PROUDCTS].[Brand].[Brand]" caption="Brand" numFmtId="0" hierarchy="7" level="1">
      <sharedItems containsSemiMixedTypes="0" containsNonDate="0" containsString="0"/>
    </cacheField>
    <cacheField name="[Customers_1].[City].[City]" caption="City" numFmtId="0" hierarchy="2" level="1">
      <sharedItems containsSemiMixedTypes="0" containsNonDate="0" containsString="0"/>
    </cacheField>
    <cacheField name="[Table3].[Order_Date (Month)].[Order_Date (Month)]" caption="Order_Date (Month)" numFmtId="0" hierarchy="29" level="1">
      <sharedItems containsSemiMixedTypes="0" containsNonDate="0" containsString="0"/>
    </cacheField>
    <cacheField name="[PROUDCTS].[Category].[Category]" caption="Category" numFmtId="0" hierarchy="8" level="1">
      <sharedItems containsSemiMixedTypes="0" containsNonDate="0" containsString="0"/>
    </cacheField>
  </cacheFields>
  <cacheHierarchies count="46">
    <cacheHierarchy uniqueName="[Customers_1].[Customer_ID]" caption="Customer_ID" attribute="1" defaultMemberUniqueName="[Customers_1].[Customer_ID].[All]" allUniqueName="[Customers_1].[Customer_ID].[All]" dimensionUniqueName="[Customers_1]" displayFolder="" count="0" memberValueDatatype="20" unbalanced="0"/>
    <cacheHierarchy uniqueName="[Customers_1].[Customer_Name]" caption="Customer_Name" attribute="1" defaultMemberUniqueName="[Customers_1].[Customer_Name].[All]" allUniqueName="[Customers_1].[Customer_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2" memberValueDatatype="130" unbalanced="0">
      <fieldsUsage count="2">
        <fieldUsage x="-1"/>
        <fieldUsage x="3"/>
      </fieldsUsage>
    </cacheHierarchy>
    <cacheHierarchy uniqueName="[Customers_1].[Phone_Number]" caption="Phone_Number" attribute="1" defaultMemberUniqueName="[Customers_1].[Phone_Number].[All]" allUniqueName="[Customers_1].[Phone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PROUDCTS].[Prodct_ID]" caption="Prodct_ID" attribute="1" defaultMemberUniqueName="[PROUDCTS].[Prodct_ID].[All]" allUniqueName="[PROUDCTS].[Prodct_ID].[All]" dimensionUniqueName="[PROUDCTS]" displayFolder="" count="0" memberValueDatatype="20" unbalanced="0"/>
    <cacheHierarchy uniqueName="[PROUDCTS].[Product_Name]" caption="Product_Name" attribute="1" defaultMemberUniqueName="[PROUDCTS].[Product_Name].[All]" allUniqueName="[PROUDCTS].[Product_Name].[All]" dimensionUniqueName="[PROUDCTS]" displayFolder="" count="2" memberValueDatatype="130" unbalanced="0">
      <fieldsUsage count="2">
        <fieldUsage x="-1"/>
        <fieldUsage x="0"/>
      </fieldsUsage>
    </cacheHierarchy>
    <cacheHierarchy uniqueName="[PROUDCTS].[Brand]" caption="Brand" attribute="1" defaultMemberUniqueName="[PROUDCTS].[Brand].[All]" allUniqueName="[PROUDCTS].[Brand].[All]" dimensionUniqueName="[PROUDCTS]" displayFolder="" count="2" memberValueDatatype="130" unbalanced="0">
      <fieldsUsage count="2">
        <fieldUsage x="-1"/>
        <fieldUsage x="2"/>
      </fieldsUsage>
    </cacheHierarchy>
    <cacheHierarchy uniqueName="[PROUDCTS].[Category]" caption="Category" attribute="1" defaultMemberUniqueName="[PROUDCTS].[Category].[All]" allUniqueName="[PROUDCTS].[Category].[All]" dimensionUniqueName="[PROUDCTS]" displayFolder="" count="2" memberValueDatatype="130" unbalanced="0">
      <fieldsUsage count="2">
        <fieldUsage x="-1"/>
        <fieldUsage x="5"/>
      </fieldsUsage>
    </cacheHierarchy>
    <cacheHierarchy uniqueName="[PROUDCTS].[Price]" caption="Price" attribute="1" defaultMemberUniqueName="[PROUDCTS].[Price].[All]" allUniqueName="[PROUDCTS].[Price].[All]" dimensionUniqueName="[PROUDCTS]" displayFolder="" count="0" memberValueDatatype="20" unbalanced="0"/>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ID]" caption="Product_ID" attribute="1" defaultMemberUniqueName="[Range].[Product_ID].[All]" allUniqueName="[Range].[Product_I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 1].[Prodct_ID]" caption="Prodct_ID" attribute="1" defaultMemberUniqueName="[Range 1].[Prodct_ID].[All]" allUniqueName="[Range 1].[Prod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Brand]" caption="Brand" attribute="1" defaultMemberUniqueName="[Range 1].[Brand].[All]" allUniqueName="[Range 1].[Bran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time="1" defaultMemberUniqueName="[Table3].[Order_Date].[All]" allUniqueName="[Table3].[Order_Date].[All]" dimensionUniqueName="[Table3]" displayFolder="" count="0" memberValueDatatype="7" unbalanced="0"/>
    <cacheHierarchy uniqueName="[Table3].[Customer_ID]" caption="Customer_ID" attribute="1" defaultMemberUniqueName="[Table3].[Customer_ID].[All]" allUniqueName="[Table3].[Customer_ID].[All]" dimensionUniqueName="[Table3]" displayFolder="" count="0" memberValueDatatype="20" unbalanced="0"/>
    <cacheHierarchy uniqueName="[Table3].[Product_ID]" caption="Product_ID" attribute="1" defaultMemberUniqueName="[Table3].[Product_ID].[All]" allUniqueName="[Table3].[Product_ID].[All]" dimensionUniqueName="[Table3]" displayFolder="" count="0" memberValueDatatype="20" unbalanced="0"/>
    <cacheHierarchy uniqueName="[Table3].[Quantity]" caption="Quantity" attribute="1" defaultMemberUniqueName="[Table3].[Quantity].[All]" allUniqueName="[Table3].[Quantity].[All]" dimensionUniqueName="[Table3]" displayFolder="" count="0" memberValueDatatype="5" unbalanced="0"/>
    <cacheHierarchy uniqueName="[Table3].[Unit_Price]" caption="Unit_Price" attribute="1" defaultMemberUniqueName="[Table3].[Unit_Price].[All]" allUniqueName="[Table3].[Unit_Price].[All]" dimensionUniqueName="[Table3]" displayFolder="" count="0" memberValueDatatype="20" unbalanced="0"/>
    <cacheHierarchy uniqueName="[Table3].[Sales]" caption="Sales" attribute="1" defaultMemberUniqueName="[Table3].[Sales].[All]" allUniqueName="[Table3].[Sales].[All]" dimensionUniqueName="[Table3]" displayFolder="" count="0" memberValueDatatype="5" unbalanced="0"/>
    <cacheHierarchy uniqueName="[Table3].[Order_Date (Month)]" caption="Order_Date (Month)" attribute="1" defaultMemberUniqueName="[Table3].[Order_Date (Month)].[All]" allUniqueName="[Table3].[Order_Date (Month)].[All]" dimensionUniqueName="[Table3]" displayFolder="" count="2" memberValueDatatype="130" unbalanced="0">
      <fieldsUsage count="2">
        <fieldUsage x="-1"/>
        <fieldUsage x="4"/>
      </fieldsUsage>
    </cacheHierarchy>
    <cacheHierarchy uniqueName="[Table3].[Names]" caption="Names" attribute="1" defaultMemberUniqueName="[Table3].[Names].[All]" allUniqueName="[Table3].[Names].[All]" dimensionUniqueName="[Table3]" displayFolder="" count="0" memberValueDatatype="130" unbalanced="0"/>
    <cacheHierarchy uniqueName="[Table3].[Proudcts]" caption="Proudcts" attribute="1" defaultMemberUniqueName="[Table3].[Proudcts].[All]" allUniqueName="[Table3].[Proudcts].[All]" dimensionUniqueName="[Table3]" displayFolder="" count="0" memberValueDatatype="130" unbalanced="0"/>
    <cacheHierarchy uniqueName="[Table3].[Order_Date (Month Index)]" caption="Order_Date (Month Index)" attribute="1" defaultMemberUniqueName="[Table3].[Order_Date (Month Index)].[All]" allUniqueName="[Table3].[Order_Date (Month Index)].[All]" dimensionUniqueName="[Table3]" displayFolder="" count="0" memberValueDatatype="20" unbalanced="0" hidden="1"/>
    <cacheHierarchy uniqueName="[Measures].[__XL_Count Range 1]" caption="__XL_Count Range 1" measure="1" displayFolder="" measureGroup="Range 1" count="0" hidden="1"/>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PROUDCTS]" caption="__XL_Count PROUDCTS" measure="1" displayFolder="" measureGroup="PROUDCTS" count="0" hidden="1"/>
    <cacheHierarchy uniqueName="[Measures].[__XL_Count Customers_1]" caption="__XL_Count Customers_1" measure="1" displayFolder="" measureGroup="Customers_1" count="0" hidden="1"/>
    <cacheHierarchy uniqueName="[Measures].[__No measures defined]" caption="__No measures defined" measure="1" displayFolder="" count="0" hidden="1"/>
    <cacheHierarchy uniqueName="[Measures].[Sum of Price]" caption="Sum of Price" measure="1" displayFolder="" measureGroup="Range 1" count="0" hidden="1">
      <extLst>
        <ext xmlns:x15="http://schemas.microsoft.com/office/spreadsheetml/2010/11/main" uri="{B97F6D7D-B522-45F9-BDA1-12C45D357490}">
          <x15:cacheHierarchy aggregatedColumn="21"/>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3"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Customer_ID 2]" caption="Sum of Customer_ID 2" measure="1" displayFolder="" measureGroup="Table3" count="0" hidden="1">
      <extLst>
        <ext xmlns:x15="http://schemas.microsoft.com/office/spreadsheetml/2010/11/main" uri="{B97F6D7D-B522-45F9-BDA1-12C45D357490}">
          <x15:cacheHierarchy aggregatedColumn="24"/>
        </ext>
      </extLst>
    </cacheHierarchy>
    <cacheHierarchy uniqueName="[Measures].[Count of Order_Date (Month)]" caption="Count of Order_Date (Month)" measure="1" displayFolder="" measureGroup="Table3"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Table3"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Table3" count="0" hidden="1">
      <extLst>
        <ext xmlns:x15="http://schemas.microsoft.com/office/spreadsheetml/2010/11/main" uri="{B97F6D7D-B522-45F9-BDA1-12C45D357490}">
          <x15:cacheHierarchy aggregatedColumn="22"/>
        </ext>
      </extLst>
    </cacheHierarchy>
  </cacheHierarchies>
  <kpis count="0"/>
  <dimensions count="6">
    <dimension name="Customers_1" uniqueName="[Customers_1]" caption="Customers_1"/>
    <dimension measure="1" name="Measures" uniqueName="[Measures]" caption="Measures"/>
    <dimension name="PROUDCTS" uniqueName="[PROUDCTS]" caption="PROUDCTS"/>
    <dimension name="Range" uniqueName="[Range]" caption="Range"/>
    <dimension name="Range 1" uniqueName="[Range 1]" caption="Range 1"/>
    <dimension name="Table3" uniqueName="[Table3]" caption="Table3"/>
  </dimensions>
  <measureGroups count="5">
    <measureGroup name="Customers_1" caption="Customers_1"/>
    <measureGroup name="PROUDCTS" caption="PROUDCTS"/>
    <measureGroup name="Range" caption="Range"/>
    <measureGroup name="Range 1" caption="Range 1"/>
    <measureGroup name="Table3" caption="Table3"/>
  </measureGroups>
  <maps count="7">
    <map measureGroup="0" dimension="0"/>
    <map measureGroup="1" dimension="2"/>
    <map measureGroup="2" dimension="3"/>
    <map measureGroup="3" dimension="4"/>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 refreshedDate="46064.892374884257" backgroundQuery="1" createdVersion="8" refreshedVersion="8" minRefreshableVersion="3" recordCount="0" supportSubquery="1" supportAdvancedDrill="1" xr:uid="{47F233BE-5AD0-4028-A3F7-B720DC064F7A}">
  <cacheSource type="external" connectionId="1"/>
  <cacheFields count="5">
    <cacheField name="[Measures].[Sum of Sales]" caption="Sum of Sales" numFmtId="0" hierarchy="41" level="32767"/>
    <cacheField name="[PROUDCTS].[Category].[Category]" caption="Category" numFmtId="0" hierarchy="8" level="1">
      <sharedItems count="10">
        <s v="Consle"/>
        <s v="CPU"/>
        <s v="Gaming Headset"/>
        <s v="GPU"/>
        <s v="Kayboard"/>
        <s v="Monitor"/>
        <s v="Motherboard"/>
        <s v="Mouse"/>
        <s v="RAM"/>
        <s v="Storage"/>
      </sharedItems>
    </cacheField>
    <cacheField name="[PROUDCTS].[Brand].[Brand]" caption="Brand" numFmtId="0" hierarchy="7" level="1">
      <sharedItems containsSemiMixedTypes="0" containsNonDate="0" containsString="0"/>
    </cacheField>
    <cacheField name="[Customers_1].[City].[City]" caption="City" numFmtId="0" hierarchy="2" level="1">
      <sharedItems containsSemiMixedTypes="0" containsNonDate="0" containsString="0"/>
    </cacheField>
    <cacheField name="[Table3].[Order_Date (Month)].[Order_Date (Month)]" caption="Order_Date (Month)" numFmtId="0" hierarchy="29" level="1">
      <sharedItems containsSemiMixedTypes="0" containsNonDate="0" containsString="0"/>
    </cacheField>
  </cacheFields>
  <cacheHierarchies count="46">
    <cacheHierarchy uniqueName="[Customers_1].[Customer_ID]" caption="Customer_ID" attribute="1" defaultMemberUniqueName="[Customers_1].[Customer_ID].[All]" allUniqueName="[Customers_1].[Customer_ID].[All]" dimensionUniqueName="[Customers_1]" displayFolder="" count="0" memberValueDatatype="20" unbalanced="0"/>
    <cacheHierarchy uniqueName="[Customers_1].[Customer_Name]" caption="Customer_Name" attribute="1" defaultMemberUniqueName="[Customers_1].[Customer_Name].[All]" allUniqueName="[Customers_1].[Customer_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2" memberValueDatatype="130" unbalanced="0">
      <fieldsUsage count="2">
        <fieldUsage x="-1"/>
        <fieldUsage x="3"/>
      </fieldsUsage>
    </cacheHierarchy>
    <cacheHierarchy uniqueName="[Customers_1].[Phone_Number]" caption="Phone_Number" attribute="1" defaultMemberUniqueName="[Customers_1].[Phone_Number].[All]" allUniqueName="[Customers_1].[Phone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PROUDCTS].[Prodct_ID]" caption="Prodct_ID" attribute="1" defaultMemberUniqueName="[PROUDCTS].[Prodct_ID].[All]" allUniqueName="[PROUDCTS].[Prodct_ID].[All]" dimensionUniqueName="[PROUDCTS]" displayFolder="" count="0" memberValueDatatype="20" unbalanced="0"/>
    <cacheHierarchy uniqueName="[PROUDCTS].[Product_Name]" caption="Product_Name" attribute="1" defaultMemberUniqueName="[PROUDCTS].[Product_Name].[All]" allUniqueName="[PROUDCTS].[Product_Name].[All]" dimensionUniqueName="[PROUDCTS]" displayFolder="" count="0" memberValueDatatype="130" unbalanced="0"/>
    <cacheHierarchy uniqueName="[PROUDCTS].[Brand]" caption="Brand" attribute="1" defaultMemberUniqueName="[PROUDCTS].[Brand].[All]" allUniqueName="[PROUDCTS].[Brand].[All]" dimensionUniqueName="[PROUDCTS]" displayFolder="" count="2" memberValueDatatype="130" unbalanced="0">
      <fieldsUsage count="2">
        <fieldUsage x="-1"/>
        <fieldUsage x="2"/>
      </fieldsUsage>
    </cacheHierarchy>
    <cacheHierarchy uniqueName="[PROUDCTS].[Category]" caption="Category" attribute="1" defaultMemberUniqueName="[PROUDCTS].[Category].[All]" allUniqueName="[PROUDCTS].[Category].[All]" dimensionUniqueName="[PROUDCTS]" displayFolder="" count="2" memberValueDatatype="130" unbalanced="0">
      <fieldsUsage count="2">
        <fieldUsage x="-1"/>
        <fieldUsage x="1"/>
      </fieldsUsage>
    </cacheHierarchy>
    <cacheHierarchy uniqueName="[PROUDCTS].[Price]" caption="Price" attribute="1" defaultMemberUniqueName="[PROUDCTS].[Price].[All]" allUniqueName="[PROUDCTS].[Price].[All]" dimensionUniqueName="[PROUDCTS]" displayFolder="" count="0" memberValueDatatype="20" unbalanced="0"/>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ID]" caption="Product_ID" attribute="1" defaultMemberUniqueName="[Range].[Product_ID].[All]" allUniqueName="[Range].[Product_I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 1].[Prodct_ID]" caption="Prodct_ID" attribute="1" defaultMemberUniqueName="[Range 1].[Prodct_ID].[All]" allUniqueName="[Range 1].[Prod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Brand]" caption="Brand" attribute="1" defaultMemberUniqueName="[Range 1].[Brand].[All]" allUniqueName="[Range 1].[Bran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time="1" defaultMemberUniqueName="[Table3].[Order_Date].[All]" allUniqueName="[Table3].[Order_Date].[All]" dimensionUniqueName="[Table3]" displayFolder="" count="0" memberValueDatatype="7" unbalanced="0"/>
    <cacheHierarchy uniqueName="[Table3].[Customer_ID]" caption="Customer_ID" attribute="1" defaultMemberUniqueName="[Table3].[Customer_ID].[All]" allUniqueName="[Table3].[Customer_ID].[All]" dimensionUniqueName="[Table3]" displayFolder="" count="0" memberValueDatatype="20" unbalanced="0"/>
    <cacheHierarchy uniqueName="[Table3].[Product_ID]" caption="Product_ID" attribute="1" defaultMemberUniqueName="[Table3].[Product_ID].[All]" allUniqueName="[Table3].[Product_ID].[All]" dimensionUniqueName="[Table3]" displayFolder="" count="0" memberValueDatatype="20" unbalanced="0"/>
    <cacheHierarchy uniqueName="[Table3].[Quantity]" caption="Quantity" attribute="1" defaultMemberUniqueName="[Table3].[Quantity].[All]" allUniqueName="[Table3].[Quantity].[All]" dimensionUniqueName="[Table3]" displayFolder="" count="0" memberValueDatatype="5" unbalanced="0"/>
    <cacheHierarchy uniqueName="[Table3].[Unit_Price]" caption="Unit_Price" attribute="1" defaultMemberUniqueName="[Table3].[Unit_Price].[All]" allUniqueName="[Table3].[Unit_Price].[All]" dimensionUniqueName="[Table3]" displayFolder="" count="0" memberValueDatatype="20" unbalanced="0"/>
    <cacheHierarchy uniqueName="[Table3].[Sales]" caption="Sales" attribute="1" defaultMemberUniqueName="[Table3].[Sales].[All]" allUniqueName="[Table3].[Sales].[All]" dimensionUniqueName="[Table3]" displayFolder="" count="0" memberValueDatatype="5" unbalanced="0"/>
    <cacheHierarchy uniqueName="[Table3].[Order_Date (Month)]" caption="Order_Date (Month)" attribute="1" defaultMemberUniqueName="[Table3].[Order_Date (Month)].[All]" allUniqueName="[Table3].[Order_Date (Month)].[All]" dimensionUniqueName="[Table3]" displayFolder="" count="2" memberValueDatatype="130" unbalanced="0">
      <fieldsUsage count="2">
        <fieldUsage x="-1"/>
        <fieldUsage x="4"/>
      </fieldsUsage>
    </cacheHierarchy>
    <cacheHierarchy uniqueName="[Table3].[Names]" caption="Names" attribute="1" defaultMemberUniqueName="[Table3].[Names].[All]" allUniqueName="[Table3].[Names].[All]" dimensionUniqueName="[Table3]" displayFolder="" count="0" memberValueDatatype="130" unbalanced="0"/>
    <cacheHierarchy uniqueName="[Table3].[Proudcts]" caption="Proudcts" attribute="1" defaultMemberUniqueName="[Table3].[Proudcts].[All]" allUniqueName="[Table3].[Proudcts].[All]" dimensionUniqueName="[Table3]" displayFolder="" count="0" memberValueDatatype="130" unbalanced="0"/>
    <cacheHierarchy uniqueName="[Table3].[Order_Date (Month Index)]" caption="Order_Date (Month Index)" attribute="1" defaultMemberUniqueName="[Table3].[Order_Date (Month Index)].[All]" allUniqueName="[Table3].[Order_Date (Month Index)].[All]" dimensionUniqueName="[Table3]" displayFolder="" count="0" memberValueDatatype="20" unbalanced="0" hidden="1"/>
    <cacheHierarchy uniqueName="[Measures].[__XL_Count Range 1]" caption="__XL_Count Range 1" measure="1" displayFolder="" measureGroup="Range 1" count="0" hidden="1"/>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PROUDCTS]" caption="__XL_Count PROUDCTS" measure="1" displayFolder="" measureGroup="PROUDCTS" count="0" hidden="1"/>
    <cacheHierarchy uniqueName="[Measures].[__XL_Count Customers_1]" caption="__XL_Count Customers_1" measure="1" displayFolder="" measureGroup="Customers_1" count="0" hidden="1"/>
    <cacheHierarchy uniqueName="[Measures].[__No measures defined]" caption="__No measures defined" measure="1" displayFolder="" count="0" hidden="1"/>
    <cacheHierarchy uniqueName="[Measures].[Sum of Price]" caption="Sum of Price" measure="1" displayFolder="" measureGroup="Range 1" count="0" hidden="1">
      <extLst>
        <ext xmlns:x15="http://schemas.microsoft.com/office/spreadsheetml/2010/11/main" uri="{B97F6D7D-B522-45F9-BDA1-12C45D357490}">
          <x15:cacheHierarchy aggregatedColumn="21"/>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3"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ustomer_ID 2]" caption="Sum of Customer_ID 2" measure="1" displayFolder="" measureGroup="Table3" count="0" hidden="1">
      <extLst>
        <ext xmlns:x15="http://schemas.microsoft.com/office/spreadsheetml/2010/11/main" uri="{B97F6D7D-B522-45F9-BDA1-12C45D357490}">
          <x15:cacheHierarchy aggregatedColumn="24"/>
        </ext>
      </extLst>
    </cacheHierarchy>
    <cacheHierarchy uniqueName="[Measures].[Count of Order_Date (Month)]" caption="Count of Order_Date (Month)" measure="1" displayFolder="" measureGroup="Table3"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Table3"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Table3" count="0" hidden="1">
      <extLst>
        <ext xmlns:x15="http://schemas.microsoft.com/office/spreadsheetml/2010/11/main" uri="{B97F6D7D-B522-45F9-BDA1-12C45D357490}">
          <x15:cacheHierarchy aggregatedColumn="22"/>
        </ext>
      </extLst>
    </cacheHierarchy>
  </cacheHierarchies>
  <kpis count="0"/>
  <dimensions count="6">
    <dimension name="Customers_1" uniqueName="[Customers_1]" caption="Customers_1"/>
    <dimension measure="1" name="Measures" uniqueName="[Measures]" caption="Measures"/>
    <dimension name="PROUDCTS" uniqueName="[PROUDCTS]" caption="PROUDCTS"/>
    <dimension name="Range" uniqueName="[Range]" caption="Range"/>
    <dimension name="Range 1" uniqueName="[Range 1]" caption="Range 1"/>
    <dimension name="Table3" uniqueName="[Table3]" caption="Table3"/>
  </dimensions>
  <measureGroups count="5">
    <measureGroup name="Customers_1" caption="Customers_1"/>
    <measureGroup name="PROUDCTS" caption="PROUDCTS"/>
    <measureGroup name="Range" caption="Range"/>
    <measureGroup name="Range 1" caption="Range 1"/>
    <measureGroup name="Table3" caption="Table3"/>
  </measureGroups>
  <maps count="7">
    <map measureGroup="0" dimension="0"/>
    <map measureGroup="1" dimension="2"/>
    <map measureGroup="2" dimension="3"/>
    <map measureGroup="3" dimension="4"/>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 refreshedDate="46064.892373379633" backgroundQuery="1" createdVersion="8" refreshedVersion="8" minRefreshableVersion="3" recordCount="0" supportSubquery="1" supportAdvancedDrill="1" xr:uid="{BEB25E04-E753-4E94-BAB8-82DD17EFC660}">
  <cacheSource type="external" connectionId="1"/>
  <cacheFields count="5">
    <cacheField name="[Measures].[Sum of Sales]" caption="Sum of Sales" numFmtId="0" hierarchy="41" level="32767"/>
    <cacheField name="[PROUDCTS].[Brand].[Brand]" caption="Brand" numFmtId="0" hierarchy="7" level="1">
      <sharedItems count="28">
        <s v="AMD"/>
        <s v="Apple"/>
        <s v="ASUS"/>
        <s v="Corsair"/>
        <s v="Crucial"/>
        <s v="Dell"/>
        <s v="HP"/>
        <s v="HyperX"/>
        <s v="Intel"/>
        <s v="Kingston_FURY"/>
        <s v="LG"/>
        <s v="Logitech"/>
        <s v="Mouse_razer"/>
        <s v="MSI"/>
        <s v="Palit"/>
        <s v="PlayStation-5"/>
        <s v="PNY"/>
        <s v="Razer"/>
        <s v="Razer_Tartrus"/>
        <s v="Red-dragon"/>
        <s v="Samsung"/>
        <s v="Sapphire"/>
        <s v="Seagate"/>
        <s v="SteelSeries"/>
        <s v="WD"/>
        <s v="Xbox_One"/>
        <s v="Xbox_Series_X"/>
        <s v="XPG"/>
      </sharedItems>
    </cacheField>
    <cacheField name="[Customers_1].[City].[City]" caption="City" numFmtId="0" hierarchy="2" level="1">
      <sharedItems containsSemiMixedTypes="0" containsNonDate="0" containsString="0"/>
    </cacheField>
    <cacheField name="[Table3].[Order_Date (Month)].[Order_Date (Month)]" caption="Order_Date (Month)" numFmtId="0" hierarchy="29" level="1">
      <sharedItems containsSemiMixedTypes="0" containsNonDate="0" containsString="0"/>
    </cacheField>
    <cacheField name="[PROUDCTS].[Category].[Category]" caption="Category" numFmtId="0" hierarchy="8" level="1">
      <sharedItems containsSemiMixedTypes="0" containsNonDate="0" containsString="0"/>
    </cacheField>
  </cacheFields>
  <cacheHierarchies count="46">
    <cacheHierarchy uniqueName="[Customers_1].[Customer_ID]" caption="Customer_ID" attribute="1" defaultMemberUniqueName="[Customers_1].[Customer_ID].[All]" allUniqueName="[Customers_1].[Customer_ID].[All]" dimensionUniqueName="[Customers_1]" displayFolder="" count="0" memberValueDatatype="20" unbalanced="0"/>
    <cacheHierarchy uniqueName="[Customers_1].[Customer_Name]" caption="Customer_Name" attribute="1" defaultMemberUniqueName="[Customers_1].[Customer_Name].[All]" allUniqueName="[Customers_1].[Customer_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2" memberValueDatatype="130" unbalanced="0">
      <fieldsUsage count="2">
        <fieldUsage x="-1"/>
        <fieldUsage x="2"/>
      </fieldsUsage>
    </cacheHierarchy>
    <cacheHierarchy uniqueName="[Customers_1].[Phone_Number]" caption="Phone_Number" attribute="1" defaultMemberUniqueName="[Customers_1].[Phone_Number].[All]" allUniqueName="[Customers_1].[Phone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PROUDCTS].[Prodct_ID]" caption="Prodct_ID" attribute="1" defaultMemberUniqueName="[PROUDCTS].[Prodct_ID].[All]" allUniqueName="[PROUDCTS].[Prodct_ID].[All]" dimensionUniqueName="[PROUDCTS]" displayFolder="" count="0" memberValueDatatype="20" unbalanced="0"/>
    <cacheHierarchy uniqueName="[PROUDCTS].[Product_Name]" caption="Product_Name" attribute="1" defaultMemberUniqueName="[PROUDCTS].[Product_Name].[All]" allUniqueName="[PROUDCTS].[Product_Name].[All]" dimensionUniqueName="[PROUDCTS]" displayFolder="" count="0" memberValueDatatype="130" unbalanced="0"/>
    <cacheHierarchy uniqueName="[PROUDCTS].[Brand]" caption="Brand" attribute="1" defaultMemberUniqueName="[PROUDCTS].[Brand].[All]" allUniqueName="[PROUDCTS].[Brand].[All]" dimensionUniqueName="[PROUDCTS]" displayFolder="" count="2" memberValueDatatype="130" unbalanced="0">
      <fieldsUsage count="2">
        <fieldUsage x="-1"/>
        <fieldUsage x="1"/>
      </fieldsUsage>
    </cacheHierarchy>
    <cacheHierarchy uniqueName="[PROUDCTS].[Category]" caption="Category" attribute="1" defaultMemberUniqueName="[PROUDCTS].[Category].[All]" allUniqueName="[PROUDCTS].[Category].[All]" dimensionUniqueName="[PROUDCTS]" displayFolder="" count="2" memberValueDatatype="130" unbalanced="0">
      <fieldsUsage count="2">
        <fieldUsage x="-1"/>
        <fieldUsage x="4"/>
      </fieldsUsage>
    </cacheHierarchy>
    <cacheHierarchy uniqueName="[PROUDCTS].[Price]" caption="Price" attribute="1" defaultMemberUniqueName="[PROUDCTS].[Price].[All]" allUniqueName="[PROUDCTS].[Price].[All]" dimensionUniqueName="[PROUDCTS]" displayFolder="" count="0" memberValueDatatype="20" unbalanced="0"/>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ID]" caption="Product_ID" attribute="1" defaultMemberUniqueName="[Range].[Product_ID].[All]" allUniqueName="[Range].[Product_I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 1].[Prodct_ID]" caption="Prodct_ID" attribute="1" defaultMemberUniqueName="[Range 1].[Prodct_ID].[All]" allUniqueName="[Range 1].[Prod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Brand]" caption="Brand" attribute="1" defaultMemberUniqueName="[Range 1].[Brand].[All]" allUniqueName="[Range 1].[Bran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time="1" defaultMemberUniqueName="[Table3].[Order_Date].[All]" allUniqueName="[Table3].[Order_Date].[All]" dimensionUniqueName="[Table3]" displayFolder="" count="0" memberValueDatatype="7" unbalanced="0"/>
    <cacheHierarchy uniqueName="[Table3].[Customer_ID]" caption="Customer_ID" attribute="1" defaultMemberUniqueName="[Table3].[Customer_ID].[All]" allUniqueName="[Table3].[Customer_ID].[All]" dimensionUniqueName="[Table3]" displayFolder="" count="0" memberValueDatatype="20" unbalanced="0"/>
    <cacheHierarchy uniqueName="[Table3].[Product_ID]" caption="Product_ID" attribute="1" defaultMemberUniqueName="[Table3].[Product_ID].[All]" allUniqueName="[Table3].[Product_ID].[All]" dimensionUniqueName="[Table3]" displayFolder="" count="0" memberValueDatatype="20" unbalanced="0"/>
    <cacheHierarchy uniqueName="[Table3].[Quantity]" caption="Quantity" attribute="1" defaultMemberUniqueName="[Table3].[Quantity].[All]" allUniqueName="[Table3].[Quantity].[All]" dimensionUniqueName="[Table3]" displayFolder="" count="0" memberValueDatatype="5" unbalanced="0"/>
    <cacheHierarchy uniqueName="[Table3].[Unit_Price]" caption="Unit_Price" attribute="1" defaultMemberUniqueName="[Table3].[Unit_Price].[All]" allUniqueName="[Table3].[Unit_Price].[All]" dimensionUniqueName="[Table3]" displayFolder="" count="0" memberValueDatatype="20" unbalanced="0"/>
    <cacheHierarchy uniqueName="[Table3].[Sales]" caption="Sales" attribute="1" defaultMemberUniqueName="[Table3].[Sales].[All]" allUniqueName="[Table3].[Sales].[All]" dimensionUniqueName="[Table3]" displayFolder="" count="0" memberValueDatatype="5" unbalanced="0"/>
    <cacheHierarchy uniqueName="[Table3].[Order_Date (Month)]" caption="Order_Date (Month)" attribute="1" defaultMemberUniqueName="[Table3].[Order_Date (Month)].[All]" allUniqueName="[Table3].[Order_Date (Month)].[All]" dimensionUniqueName="[Table3]" displayFolder="" count="2" memberValueDatatype="130" unbalanced="0">
      <fieldsUsage count="2">
        <fieldUsage x="-1"/>
        <fieldUsage x="3"/>
      </fieldsUsage>
    </cacheHierarchy>
    <cacheHierarchy uniqueName="[Table3].[Names]" caption="Names" attribute="1" defaultMemberUniqueName="[Table3].[Names].[All]" allUniqueName="[Table3].[Names].[All]" dimensionUniqueName="[Table3]" displayFolder="" count="0" memberValueDatatype="130" unbalanced="0"/>
    <cacheHierarchy uniqueName="[Table3].[Proudcts]" caption="Proudcts" attribute="1" defaultMemberUniqueName="[Table3].[Proudcts].[All]" allUniqueName="[Table3].[Proudcts].[All]" dimensionUniqueName="[Table3]" displayFolder="" count="0" memberValueDatatype="130" unbalanced="0"/>
    <cacheHierarchy uniqueName="[Table3].[Order_Date (Month Index)]" caption="Order_Date (Month Index)" attribute="1" defaultMemberUniqueName="[Table3].[Order_Date (Month Index)].[All]" allUniqueName="[Table3].[Order_Date (Month Index)].[All]" dimensionUniqueName="[Table3]" displayFolder="" count="0" memberValueDatatype="20" unbalanced="0" hidden="1"/>
    <cacheHierarchy uniqueName="[Measures].[__XL_Count Range 1]" caption="__XL_Count Range 1" measure="1" displayFolder="" measureGroup="Range 1" count="0" hidden="1"/>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PROUDCTS]" caption="__XL_Count PROUDCTS" measure="1" displayFolder="" measureGroup="PROUDCTS" count="0" hidden="1"/>
    <cacheHierarchy uniqueName="[Measures].[__XL_Count Customers_1]" caption="__XL_Count Customers_1" measure="1" displayFolder="" measureGroup="Customers_1" count="0" hidden="1"/>
    <cacheHierarchy uniqueName="[Measures].[__No measures defined]" caption="__No measures defined" measure="1" displayFolder="" count="0" hidden="1"/>
    <cacheHierarchy uniqueName="[Measures].[Sum of Price]" caption="Sum of Price" measure="1" displayFolder="" measureGroup="Range 1" count="0" hidden="1">
      <extLst>
        <ext xmlns:x15="http://schemas.microsoft.com/office/spreadsheetml/2010/11/main" uri="{B97F6D7D-B522-45F9-BDA1-12C45D357490}">
          <x15:cacheHierarchy aggregatedColumn="21"/>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3"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ustomer_ID 2]" caption="Sum of Customer_ID 2" measure="1" displayFolder="" measureGroup="Table3" count="0" hidden="1">
      <extLst>
        <ext xmlns:x15="http://schemas.microsoft.com/office/spreadsheetml/2010/11/main" uri="{B97F6D7D-B522-45F9-BDA1-12C45D357490}">
          <x15:cacheHierarchy aggregatedColumn="24"/>
        </ext>
      </extLst>
    </cacheHierarchy>
    <cacheHierarchy uniqueName="[Measures].[Count of Order_Date (Month)]" caption="Count of Order_Date (Month)" measure="1" displayFolder="" measureGroup="Table3"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Table3"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Table3" count="0" hidden="1">
      <extLst>
        <ext xmlns:x15="http://schemas.microsoft.com/office/spreadsheetml/2010/11/main" uri="{B97F6D7D-B522-45F9-BDA1-12C45D357490}">
          <x15:cacheHierarchy aggregatedColumn="22"/>
        </ext>
      </extLst>
    </cacheHierarchy>
  </cacheHierarchies>
  <kpis count="0"/>
  <dimensions count="6">
    <dimension name="Customers_1" uniqueName="[Customers_1]" caption="Customers_1"/>
    <dimension measure="1" name="Measures" uniqueName="[Measures]" caption="Measures"/>
    <dimension name="PROUDCTS" uniqueName="[PROUDCTS]" caption="PROUDCTS"/>
    <dimension name="Range" uniqueName="[Range]" caption="Range"/>
    <dimension name="Range 1" uniqueName="[Range 1]" caption="Range 1"/>
    <dimension name="Table3" uniqueName="[Table3]" caption="Table3"/>
  </dimensions>
  <measureGroups count="5">
    <measureGroup name="Customers_1" caption="Customers_1"/>
    <measureGroup name="PROUDCTS" caption="PROUDCTS"/>
    <measureGroup name="Range" caption="Range"/>
    <measureGroup name="Range 1" caption="Range 1"/>
    <measureGroup name="Table3" caption="Table3"/>
  </measureGroups>
  <maps count="7">
    <map measureGroup="0" dimension="0"/>
    <map measureGroup="1" dimension="2"/>
    <map measureGroup="2" dimension="3"/>
    <map measureGroup="3" dimension="4"/>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 refreshedDate="46064.892381018515" backgroundQuery="1" createdVersion="8" refreshedVersion="8" minRefreshableVersion="3" recordCount="0" supportSubquery="1" supportAdvancedDrill="1" xr:uid="{0395CB1F-B331-4EAC-83DE-32F3A92FF1E2}">
  <cacheSource type="external" connectionId="1"/>
  <cacheFields count="6">
    <cacheField name="[Customers_1].[Customer_Name].[Customer_Name]" caption="Customer_Name" numFmtId="0" hierarchy="1" level="1">
      <sharedItems count="10">
        <s v=" Dana Faisal"/>
        <s v=" Majed Abdullah"/>
        <s v=" Mona Hisham"/>
        <s v=" Nada Refaat"/>
        <s v=" Nawaf Abdullah"/>
        <s v=" Omar Hassan"/>
        <s v=" Reem Adel"/>
        <s v=" Shatha Omar"/>
        <s v=" Youssef Nasser"/>
        <s v="Mona Salah"/>
      </sharedItems>
    </cacheField>
    <cacheField name="[Measures].[Sum of Sales]" caption="Sum of Sales" numFmtId="0" hierarchy="41" level="32767"/>
    <cacheField name="[Customers_1].[City].[City]" caption="City" numFmtId="0" hierarchy="2" level="1">
      <sharedItems containsSemiMixedTypes="0" containsNonDate="0" containsString="0"/>
    </cacheField>
    <cacheField name="[Table3].[Order_Date (Month)].[Order_Date (Month)]" caption="Order_Date (Month)" numFmtId="0" hierarchy="29" level="1">
      <sharedItems containsSemiMixedTypes="0" containsNonDate="0" containsString="0"/>
    </cacheField>
    <cacheField name="[PROUDCTS].[Brand].[Brand]" caption="Brand" numFmtId="0" hierarchy="7" level="1">
      <sharedItems containsSemiMixedTypes="0" containsNonDate="0" containsString="0"/>
    </cacheField>
    <cacheField name="[PROUDCTS].[Category].[Category]" caption="Category" numFmtId="0" hierarchy="8" level="1">
      <sharedItems containsSemiMixedTypes="0" containsNonDate="0" containsString="0"/>
    </cacheField>
  </cacheFields>
  <cacheHierarchies count="46">
    <cacheHierarchy uniqueName="[Customers_1].[Customer_ID]" caption="Customer_ID" attribute="1" defaultMemberUniqueName="[Customers_1].[Customer_ID].[All]" allUniqueName="[Customers_1].[Customer_ID].[All]" dimensionUniqueName="[Customers_1]" displayFolder="" count="0" memberValueDatatype="20" unbalanced="0"/>
    <cacheHierarchy uniqueName="[Customers_1].[Customer_Name]" caption="Customer_Name" attribute="1" defaultMemberUniqueName="[Customers_1].[Customer_Name].[All]" allUniqueName="[Customers_1].[Customer_Name].[All]" dimensionUniqueName="[Customers_1]" displayFolder="" count="2" memberValueDatatype="130" unbalanced="0">
      <fieldsUsage count="2">
        <fieldUsage x="-1"/>
        <fieldUsage x="0"/>
      </fieldsUsage>
    </cacheHierarchy>
    <cacheHierarchy uniqueName="[Customers_1].[City]" caption="City" attribute="1" defaultMemberUniqueName="[Customers_1].[City].[All]" allUniqueName="[Customers_1].[City].[All]" dimensionUniqueName="[Customers_1]" displayFolder="" count="2" memberValueDatatype="130" unbalanced="0">
      <fieldsUsage count="2">
        <fieldUsage x="-1"/>
        <fieldUsage x="2"/>
      </fieldsUsage>
    </cacheHierarchy>
    <cacheHierarchy uniqueName="[Customers_1].[Phone_Number]" caption="Phone_Number" attribute="1" defaultMemberUniqueName="[Customers_1].[Phone_Number].[All]" allUniqueName="[Customers_1].[Phone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PROUDCTS].[Prodct_ID]" caption="Prodct_ID" attribute="1" defaultMemberUniqueName="[PROUDCTS].[Prodct_ID].[All]" allUniqueName="[PROUDCTS].[Prodct_ID].[All]" dimensionUniqueName="[PROUDCTS]" displayFolder="" count="0" memberValueDatatype="20" unbalanced="0"/>
    <cacheHierarchy uniqueName="[PROUDCTS].[Product_Name]" caption="Product_Name" attribute="1" defaultMemberUniqueName="[PROUDCTS].[Product_Name].[All]" allUniqueName="[PROUDCTS].[Product_Name].[All]" dimensionUniqueName="[PROUDCTS]" displayFolder="" count="0" memberValueDatatype="130" unbalanced="0"/>
    <cacheHierarchy uniqueName="[PROUDCTS].[Brand]" caption="Brand" attribute="1" defaultMemberUniqueName="[PROUDCTS].[Brand].[All]" allUniqueName="[PROUDCTS].[Brand].[All]" dimensionUniqueName="[PROUDCTS]" displayFolder="" count="2" memberValueDatatype="130" unbalanced="0">
      <fieldsUsage count="2">
        <fieldUsage x="-1"/>
        <fieldUsage x="4"/>
      </fieldsUsage>
    </cacheHierarchy>
    <cacheHierarchy uniqueName="[PROUDCTS].[Category]" caption="Category" attribute="1" defaultMemberUniqueName="[PROUDCTS].[Category].[All]" allUniqueName="[PROUDCTS].[Category].[All]" dimensionUniqueName="[PROUDCTS]" displayFolder="" count="2" memberValueDatatype="130" unbalanced="0">
      <fieldsUsage count="2">
        <fieldUsage x="-1"/>
        <fieldUsage x="5"/>
      </fieldsUsage>
    </cacheHierarchy>
    <cacheHierarchy uniqueName="[PROUDCTS].[Price]" caption="Price" attribute="1" defaultMemberUniqueName="[PROUDCTS].[Price].[All]" allUniqueName="[PROUDCTS].[Price].[All]" dimensionUniqueName="[PROUDCTS]" displayFolder="" count="0" memberValueDatatype="20" unbalanced="0"/>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ID]" caption="Product_ID" attribute="1" defaultMemberUniqueName="[Range].[Product_ID].[All]" allUniqueName="[Range].[Product_I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 1].[Prodct_ID]" caption="Prodct_ID" attribute="1" defaultMemberUniqueName="[Range 1].[Prodct_ID].[All]" allUniqueName="[Range 1].[Prod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Brand]" caption="Brand" attribute="1" defaultMemberUniqueName="[Range 1].[Brand].[All]" allUniqueName="[Range 1].[Bran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time="1" defaultMemberUniqueName="[Table3].[Order_Date].[All]" allUniqueName="[Table3].[Order_Date].[All]" dimensionUniqueName="[Table3]" displayFolder="" count="0" memberValueDatatype="7" unbalanced="0"/>
    <cacheHierarchy uniqueName="[Table3].[Customer_ID]" caption="Customer_ID" attribute="1" defaultMemberUniqueName="[Table3].[Customer_ID].[All]" allUniqueName="[Table3].[Customer_ID].[All]" dimensionUniqueName="[Table3]" displayFolder="" count="0" memberValueDatatype="20" unbalanced="0"/>
    <cacheHierarchy uniqueName="[Table3].[Product_ID]" caption="Product_ID" attribute="1" defaultMemberUniqueName="[Table3].[Product_ID].[All]" allUniqueName="[Table3].[Product_ID].[All]" dimensionUniqueName="[Table3]" displayFolder="" count="0" memberValueDatatype="20" unbalanced="0"/>
    <cacheHierarchy uniqueName="[Table3].[Quantity]" caption="Quantity" attribute="1" defaultMemberUniqueName="[Table3].[Quantity].[All]" allUniqueName="[Table3].[Quantity].[All]" dimensionUniqueName="[Table3]" displayFolder="" count="0" memberValueDatatype="5" unbalanced="0"/>
    <cacheHierarchy uniqueName="[Table3].[Unit_Price]" caption="Unit_Price" attribute="1" defaultMemberUniqueName="[Table3].[Unit_Price].[All]" allUniqueName="[Table3].[Unit_Price].[All]" dimensionUniqueName="[Table3]" displayFolder="" count="0" memberValueDatatype="20" unbalanced="0"/>
    <cacheHierarchy uniqueName="[Table3].[Sales]" caption="Sales" attribute="1" defaultMemberUniqueName="[Table3].[Sales].[All]" allUniqueName="[Table3].[Sales].[All]" dimensionUniqueName="[Table3]" displayFolder="" count="0" memberValueDatatype="5" unbalanced="0"/>
    <cacheHierarchy uniqueName="[Table3].[Order_Date (Month)]" caption="Order_Date (Month)" attribute="1" defaultMemberUniqueName="[Table3].[Order_Date (Month)].[All]" allUniqueName="[Table3].[Order_Date (Month)].[All]" dimensionUniqueName="[Table3]" displayFolder="" count="2" memberValueDatatype="130" unbalanced="0">
      <fieldsUsage count="2">
        <fieldUsage x="-1"/>
        <fieldUsage x="3"/>
      </fieldsUsage>
    </cacheHierarchy>
    <cacheHierarchy uniqueName="[Table3].[Names]" caption="Names" attribute="1" defaultMemberUniqueName="[Table3].[Names].[All]" allUniqueName="[Table3].[Names].[All]" dimensionUniqueName="[Table3]" displayFolder="" count="0" memberValueDatatype="130" unbalanced="0"/>
    <cacheHierarchy uniqueName="[Table3].[Proudcts]" caption="Proudcts" attribute="1" defaultMemberUniqueName="[Table3].[Proudcts].[All]" allUniqueName="[Table3].[Proudcts].[All]" dimensionUniqueName="[Table3]" displayFolder="" count="0" memberValueDatatype="130" unbalanced="0"/>
    <cacheHierarchy uniqueName="[Table3].[Order_Date (Month Index)]" caption="Order_Date (Month Index)" attribute="1" defaultMemberUniqueName="[Table3].[Order_Date (Month Index)].[All]" allUniqueName="[Table3].[Order_Date (Month Index)].[All]" dimensionUniqueName="[Table3]" displayFolder="" count="0" memberValueDatatype="20" unbalanced="0" hidden="1"/>
    <cacheHierarchy uniqueName="[Measures].[__XL_Count Range 1]" caption="__XL_Count Range 1" measure="1" displayFolder="" measureGroup="Range 1" count="0" hidden="1"/>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PROUDCTS]" caption="__XL_Count PROUDCTS" measure="1" displayFolder="" measureGroup="PROUDCTS" count="0" hidden="1"/>
    <cacheHierarchy uniqueName="[Measures].[__XL_Count Customers_1]" caption="__XL_Count Customers_1" measure="1" displayFolder="" measureGroup="Customers_1" count="0" hidden="1"/>
    <cacheHierarchy uniqueName="[Measures].[__No measures defined]" caption="__No measures defined" measure="1" displayFolder="" count="0" hidden="1"/>
    <cacheHierarchy uniqueName="[Measures].[Sum of Price]" caption="Sum of Price" measure="1" displayFolder="" measureGroup="Range 1" count="0" hidden="1">
      <extLst>
        <ext xmlns:x15="http://schemas.microsoft.com/office/spreadsheetml/2010/11/main" uri="{B97F6D7D-B522-45F9-BDA1-12C45D357490}">
          <x15:cacheHierarchy aggregatedColumn="21"/>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3"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Customer_ID 2]" caption="Sum of Customer_ID 2" measure="1" displayFolder="" measureGroup="Table3" count="0" hidden="1">
      <extLst>
        <ext xmlns:x15="http://schemas.microsoft.com/office/spreadsheetml/2010/11/main" uri="{B97F6D7D-B522-45F9-BDA1-12C45D357490}">
          <x15:cacheHierarchy aggregatedColumn="24"/>
        </ext>
      </extLst>
    </cacheHierarchy>
    <cacheHierarchy uniqueName="[Measures].[Count of Order_Date (Month)]" caption="Count of Order_Date (Month)" measure="1" displayFolder="" measureGroup="Table3"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Table3"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Table3" count="0" hidden="1">
      <extLst>
        <ext xmlns:x15="http://schemas.microsoft.com/office/spreadsheetml/2010/11/main" uri="{B97F6D7D-B522-45F9-BDA1-12C45D357490}">
          <x15:cacheHierarchy aggregatedColumn="22"/>
        </ext>
      </extLst>
    </cacheHierarchy>
  </cacheHierarchies>
  <kpis count="0"/>
  <dimensions count="6">
    <dimension name="Customers_1" uniqueName="[Customers_1]" caption="Customers_1"/>
    <dimension measure="1" name="Measures" uniqueName="[Measures]" caption="Measures"/>
    <dimension name="PROUDCTS" uniqueName="[PROUDCTS]" caption="PROUDCTS"/>
    <dimension name="Range" uniqueName="[Range]" caption="Range"/>
    <dimension name="Range 1" uniqueName="[Range 1]" caption="Range 1"/>
    <dimension name="Table3" uniqueName="[Table3]" caption="Table3"/>
  </dimensions>
  <measureGroups count="5">
    <measureGroup name="Customers_1" caption="Customers_1"/>
    <measureGroup name="PROUDCTS" caption="PROUDCTS"/>
    <measureGroup name="Range" caption="Range"/>
    <measureGroup name="Range 1" caption="Range 1"/>
    <measureGroup name="Table3" caption="Table3"/>
  </measureGroups>
  <maps count="7">
    <map measureGroup="0" dimension="0"/>
    <map measureGroup="1" dimension="2"/>
    <map measureGroup="2" dimension="3"/>
    <map measureGroup="3" dimension="4"/>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 refreshedDate="46064.892368518522" backgroundQuery="1" createdVersion="3" refreshedVersion="8" minRefreshableVersion="3" recordCount="0" supportSubquery="1" supportAdvancedDrill="1" xr:uid="{6E72C511-38F6-4A5B-9654-5BAB5C7739F9}">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Customers_1].[Customer_ID]" caption="Customer_ID" attribute="1" defaultMemberUniqueName="[Customers_1].[Customer_ID].[All]" allUniqueName="[Customers_1].[Customer_ID].[All]" dimensionUniqueName="[Customers_1]" displayFolder="" count="0" memberValueDatatype="20" unbalanced="0"/>
    <cacheHierarchy uniqueName="[Customers_1].[Customer_Name]" caption="Customer_Name" attribute="1" defaultMemberUniqueName="[Customers_1].[Customer_Name].[All]" allUniqueName="[Customers_1].[Customer_Name].[All]" dimensionUniqueName="[Customers_1]" displayFolder="" count="0" memberValueDatatype="130" unbalanced="0"/>
    <cacheHierarchy uniqueName="[Customers_1].[City]" caption="City" attribute="1" defaultMemberUniqueName="[Customers_1].[City].[All]" allUniqueName="[Customers_1].[City].[All]" dimensionUniqueName="[Customers_1]" displayFolder="" count="0" memberValueDatatype="130" unbalanced="0"/>
    <cacheHierarchy uniqueName="[Customers_1].[Phone_Number]" caption="Phone_Number" attribute="1" defaultMemberUniqueName="[Customers_1].[Phone_Number].[All]" allUniqueName="[Customers_1].[Phone_Number].[All]" dimensionUniqueName="[Customers_1]" displayFolder="" count="0" memberValueDatatype="130" unbalanced="0"/>
    <cacheHierarchy uniqueName="[Customers_1].[Email]" caption="Email" attribute="1" defaultMemberUniqueName="[Customers_1].[Email].[All]" allUniqueName="[Customers_1].[Email].[All]" dimensionUniqueName="[Customers_1]" displayFolder="" count="0" memberValueDatatype="130" unbalanced="0"/>
    <cacheHierarchy uniqueName="[PROUDCTS].[Prodct_ID]" caption="Prodct_ID" attribute="1" defaultMemberUniqueName="[PROUDCTS].[Prodct_ID].[All]" allUniqueName="[PROUDCTS].[Prodct_ID].[All]" dimensionUniqueName="[PROUDCTS]" displayFolder="" count="0" memberValueDatatype="20" unbalanced="0"/>
    <cacheHierarchy uniqueName="[PROUDCTS].[Product_Name]" caption="Product_Name" attribute="1" defaultMemberUniqueName="[PROUDCTS].[Product_Name].[All]" allUniqueName="[PROUDCTS].[Product_Name].[All]" dimensionUniqueName="[PROUDCTS]" displayFolder="" count="0" memberValueDatatype="130" unbalanced="0"/>
    <cacheHierarchy uniqueName="[PROUDCTS].[Brand]" caption="Brand" attribute="1" defaultMemberUniqueName="[PROUDCTS].[Brand].[All]" allUniqueName="[PROUDCTS].[Brand].[All]" dimensionUniqueName="[PROUDCTS]" displayFolder="" count="0" memberValueDatatype="130" unbalanced="0"/>
    <cacheHierarchy uniqueName="[PROUDCTS].[Category]" caption="Category" attribute="1" defaultMemberUniqueName="[PROUDCTS].[Category].[All]" allUniqueName="[PROUDCTS].[Category].[All]" dimensionUniqueName="[PROUDCTS]" displayFolder="" count="0" memberValueDatatype="130" unbalanced="0"/>
    <cacheHierarchy uniqueName="[PROUDCTS].[Price]" caption="Price" attribute="1" defaultMemberUniqueName="[PROUDCTS].[Price].[All]" allUniqueName="[PROUDCTS].[Price].[All]" dimensionUniqueName="[PROUDCTS]" displayFolder="" count="0" memberValueDatatype="20" unbalanced="0"/>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ID]" caption="Product_ID" attribute="1" defaultMemberUniqueName="[Range].[Product_ID].[All]" allUniqueName="[Range].[Product_I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 1].[Prodct_ID]" caption="Prodct_ID" attribute="1" defaultMemberUniqueName="[Range 1].[Prodct_ID].[All]" allUniqueName="[Range 1].[Prod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Brand]" caption="Brand" attribute="1" defaultMemberUniqueName="[Range 1].[Brand].[All]" allUniqueName="[Range 1].[Bran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ice]" caption="Price" attribute="1" defaultMemberUniqueName="[Range 1].[Price].[All]" allUniqueName="[Range 1].[Price].[All]" dimensionUniqueName="[Range 1]"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time="1" defaultMemberUniqueName="[Table3].[Order_Date].[All]" allUniqueName="[Table3].[Order_Date].[All]" dimensionUniqueName="[Table3]" displayFolder="" count="0" memberValueDatatype="7" unbalanced="0"/>
    <cacheHierarchy uniqueName="[Table3].[Customer_ID]" caption="Customer_ID" attribute="1" defaultMemberUniqueName="[Table3].[Customer_ID].[All]" allUniqueName="[Table3].[Customer_ID].[All]" dimensionUniqueName="[Table3]" displayFolder="" count="0" memberValueDatatype="20" unbalanced="0"/>
    <cacheHierarchy uniqueName="[Table3].[Product_ID]" caption="Product_ID" attribute="1" defaultMemberUniqueName="[Table3].[Product_ID].[All]" allUniqueName="[Table3].[Product_ID].[All]" dimensionUniqueName="[Table3]" displayFolder="" count="0" memberValueDatatype="20" unbalanced="0"/>
    <cacheHierarchy uniqueName="[Table3].[Quantity]" caption="Quantity" attribute="1" defaultMemberUniqueName="[Table3].[Quantity].[All]" allUniqueName="[Table3].[Quantity].[All]" dimensionUniqueName="[Table3]" displayFolder="" count="0" memberValueDatatype="5" unbalanced="0"/>
    <cacheHierarchy uniqueName="[Table3].[Unit_Price]" caption="Unit_Price" attribute="1" defaultMemberUniqueName="[Table3].[Unit_Price].[All]" allUniqueName="[Table3].[Unit_Price].[All]" dimensionUniqueName="[Table3]" displayFolder="" count="0" memberValueDatatype="20" unbalanced="0"/>
    <cacheHierarchy uniqueName="[Table3].[Sales]" caption="Sales" attribute="1" defaultMemberUniqueName="[Table3].[Sales].[All]" allUniqueName="[Table3].[Sales].[All]" dimensionUniqueName="[Table3]" displayFolder="" count="0" memberValueDatatype="5" unbalanced="0"/>
    <cacheHierarchy uniqueName="[Table3].[Order_Date (Month)]" caption="Order_Date (Month)" attribute="1" defaultMemberUniqueName="[Table3].[Order_Date (Month)].[All]" allUniqueName="[Table3].[Order_Date (Month)].[All]" dimensionUniqueName="[Table3]" displayFolder="" count="0" memberValueDatatype="130" unbalanced="0"/>
    <cacheHierarchy uniqueName="[Table3].[Names]" caption="Names" attribute="1" defaultMemberUniqueName="[Table3].[Names].[All]" allUniqueName="[Table3].[Names].[All]" dimensionUniqueName="[Table3]" displayFolder="" count="0" memberValueDatatype="130" unbalanced="0"/>
    <cacheHierarchy uniqueName="[Table3].[Proudcts]" caption="Proudcts" attribute="1" defaultMemberUniqueName="[Table3].[Proudcts].[All]" allUniqueName="[Table3].[Proudcts].[All]" dimensionUniqueName="[Table3]" displayFolder="" count="0" memberValueDatatype="130" unbalanced="0"/>
    <cacheHierarchy uniqueName="[Table3].[Order_Date (Month Index)]" caption="Order_Date (Month Index)" attribute="1" defaultMemberUniqueName="[Table3].[Order_Date (Month Index)].[All]" allUniqueName="[Table3].[Order_Date (Month Index)].[All]" dimensionUniqueName="[Table3]" displayFolder="" count="0" memberValueDatatype="20" unbalanced="0" hidden="1"/>
    <cacheHierarchy uniqueName="[Measures].[__XL_Count Range 1]" caption="__XL_Count Range 1" measure="1" displayFolder="" measureGroup="Range 1" count="0" hidden="1"/>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PROUDCTS]" caption="__XL_Count PROUDCTS" measure="1" displayFolder="" measureGroup="PROUDCTS" count="0" hidden="1"/>
    <cacheHierarchy uniqueName="[Measures].[__XL_Count Customers_1]" caption="__XL_Count Customers_1" measure="1" displayFolder="" measureGroup="Customers_1" count="0" hidden="1"/>
    <cacheHierarchy uniqueName="[Measures].[__No measures defined]" caption="__No measures defined" measure="1" displayFolder="" count="0" hidden="1"/>
    <cacheHierarchy uniqueName="[Measures].[Sum of Price]" caption="Sum of Price" measure="1" displayFolder="" measureGroup="Range 1" count="0" hidden="1">
      <extLst>
        <ext xmlns:x15="http://schemas.microsoft.com/office/spreadsheetml/2010/11/main" uri="{B97F6D7D-B522-45F9-BDA1-12C45D357490}">
          <x15:cacheHierarchy aggregatedColumn="21"/>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3" count="0" hidden="1">
      <extLst>
        <ext xmlns:x15="http://schemas.microsoft.com/office/spreadsheetml/2010/11/main" uri="{B97F6D7D-B522-45F9-BDA1-12C45D357490}">
          <x15:cacheHierarchy aggregatedColumn="28"/>
        </ext>
      </extLst>
    </cacheHierarchy>
    <cacheHierarchy uniqueName="[Measures].[Sum of Customer_ID 2]" caption="Sum of Customer_ID 2" measure="1" displayFolder="" measureGroup="Table3" count="0" hidden="1">
      <extLst>
        <ext xmlns:x15="http://schemas.microsoft.com/office/spreadsheetml/2010/11/main" uri="{B97F6D7D-B522-45F9-BDA1-12C45D357490}">
          <x15:cacheHierarchy aggregatedColumn="24"/>
        </ext>
      </extLst>
    </cacheHierarchy>
    <cacheHierarchy uniqueName="[Measures].[Count of Order_Date (Month)]" caption="Count of Order_Date (Month)" measure="1" displayFolder="" measureGroup="Table3"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Table3"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Table3" count="0" hidden="1">
      <extLst>
        <ext xmlns:x15="http://schemas.microsoft.com/office/spreadsheetml/2010/11/main" uri="{B97F6D7D-B522-45F9-BDA1-12C45D357490}">
          <x15:cacheHierarchy aggregatedColumn="22"/>
        </ext>
      </extLst>
    </cacheHierarchy>
  </cacheHierarchies>
  <kpis count="0"/>
  <dimensions count="6">
    <dimension name="Customers_1" uniqueName="[Customers_1]" caption="Customers_1"/>
    <dimension measure="1" name="Measures" uniqueName="[Measures]" caption="Measures"/>
    <dimension name="PROUDCTS" uniqueName="[PROUDCTS]" caption="PROUDCTS"/>
    <dimension name="Range" uniqueName="[Range]" caption="Range"/>
    <dimension name="Range 1" uniqueName="[Range 1]" caption="Range 1"/>
    <dimension name="Table3" uniqueName="[Table3]" caption="Table3"/>
  </dimensions>
  <measureGroups count="5">
    <measureGroup name="Customers_1" caption="Customers_1"/>
    <measureGroup name="PROUDCTS" caption="PROUDCTS"/>
    <measureGroup name="Range" caption="Range"/>
    <measureGroup name="Range 1" caption="Range 1"/>
    <measureGroup name="Table3" caption="Table3"/>
  </measureGroups>
  <maps count="7">
    <map measureGroup="0" dimension="0"/>
    <map measureGroup="1" dimension="2"/>
    <map measureGroup="2" dimension="3"/>
    <map measureGroup="3" dimension="4"/>
    <map measureGroup="4" dimension="0"/>
    <map measureGroup="4" dimension="2"/>
    <map measureGroup="4" dimension="5"/>
  </maps>
  <extLst>
    <ext xmlns:x14="http://schemas.microsoft.com/office/spreadsheetml/2009/9/main" uri="{725AE2AE-9491-48be-B2B4-4EB974FC3084}">
      <x14:pivotCacheDefinition slicerData="1" pivotCacheId="11295192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41415B-C2E7-4C1D-BCF7-C82EC330FC00}" name="PivotTable1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T6" firstHeaderRow="0" firstDataRow="1" firstDataCol="0"/>
  <pivotFields count="6">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Orders" fld="1" subtotal="count" baseField="0" baseItem="1"/>
    <dataField name="Sum of Sales" fld="0" baseField="0" baseItem="0" numFmtId="164"/>
  </dataFields>
  <formats count="3">
    <format dxfId="25">
      <pivotArea outline="0" collapsedLevelsAreSubtotals="1" fieldPosition="0"/>
    </format>
    <format dxfId="24">
      <pivotArea outline="0" collapsedLevelsAreSubtotals="1" fieldPosition="0">
        <references count="1">
          <reference field="4294967294" count="1" selected="0">
            <x v="1"/>
          </reference>
        </references>
      </pivotArea>
    </format>
    <format dxfId="23">
      <pivotArea dataOnly="0" labelOnly="1" outline="0" fieldPosition="0">
        <references count="1">
          <reference field="4294967294" count="1">
            <x v="1"/>
          </reference>
        </references>
      </pivotArea>
    </format>
  </formats>
  <pivotHierarchies count="46">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Ord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ustomers_1]"/>
        <x15:activeTabTopLevelEntity name="[PROUD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9BE957-E28D-4D51-A401-DE7FAA487C89}" name="PivotTable14"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ity">
  <location ref="O1:P6"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numFmtId="164"/>
  </dataFields>
  <formats count="2">
    <format dxfId="27">
      <pivotArea outline="0" collapsedLevelsAreSubtotals="1" fieldPosition="0"/>
    </format>
    <format dxfId="2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ustomers_1]"/>
        <x15:activeTabTopLevelEntity name="[PROUD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568135-4DAD-4388-96A1-A0FB19F149E3}" name="PivotTable1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K1:L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numFmtId="164"/>
  </dataFields>
  <formats count="2">
    <format dxfId="29">
      <pivotArea outline="0" collapsedLevelsAreSubtotals="1" fieldPosition="0"/>
    </format>
    <format dxfId="28">
      <pivotArea dataOnly="0" labelOnly="1" outline="0" axis="axisValues"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ustomers_1]"/>
        <x15:activeTabTopLevelEntity name="[PROUD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54C584-7C1F-4FB3-A768-E343F798D022}" name="PivotTable8"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location ref="I1:J147" firstHeaderRow="1" firstDataRow="1" firstDataCol="1"/>
  <pivotFields count="6">
    <pivotField axis="axisRow" allDrilled="1" subtotalTop="0" showAll="0" sortType="descending"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6">
    <i>
      <x v="54"/>
    </i>
    <i>
      <x v="57"/>
    </i>
    <i>
      <x v="48"/>
    </i>
    <i>
      <x v="116"/>
    </i>
    <i>
      <x v="65"/>
    </i>
    <i>
      <x v="18"/>
    </i>
    <i>
      <x v="84"/>
    </i>
    <i>
      <x v="96"/>
    </i>
    <i>
      <x v="60"/>
    </i>
    <i>
      <x v="73"/>
    </i>
    <i>
      <x v="21"/>
    </i>
    <i>
      <x v="29"/>
    </i>
    <i>
      <x v="137"/>
    </i>
    <i>
      <x v="95"/>
    </i>
    <i>
      <x v="63"/>
    </i>
    <i>
      <x v="15"/>
    </i>
    <i>
      <x v="23"/>
    </i>
    <i>
      <x v="79"/>
    </i>
    <i>
      <x v="24"/>
    </i>
    <i>
      <x v="78"/>
    </i>
    <i>
      <x v="55"/>
    </i>
    <i>
      <x v="31"/>
    </i>
    <i>
      <x v="56"/>
    </i>
    <i>
      <x v="118"/>
    </i>
    <i>
      <x v="66"/>
    </i>
    <i>
      <x v="59"/>
    </i>
    <i>
      <x v="53"/>
    </i>
    <i>
      <x v="37"/>
    </i>
    <i>
      <x v="2"/>
    </i>
    <i>
      <x v="119"/>
    </i>
    <i>
      <x v="138"/>
    </i>
    <i>
      <x v="46"/>
    </i>
    <i>
      <x v="8"/>
    </i>
    <i>
      <x v="122"/>
    </i>
    <i>
      <x v="82"/>
    </i>
    <i>
      <x v="36"/>
    </i>
    <i>
      <x v="70"/>
    </i>
    <i>
      <x v="74"/>
    </i>
    <i>
      <x v="72"/>
    </i>
    <i>
      <x v="7"/>
    </i>
    <i>
      <x v="88"/>
    </i>
    <i>
      <x v="3"/>
    </i>
    <i>
      <x v="9"/>
    </i>
    <i>
      <x v="20"/>
    </i>
    <i>
      <x v="120"/>
    </i>
    <i>
      <x v="44"/>
    </i>
    <i>
      <x v="51"/>
    </i>
    <i>
      <x/>
    </i>
    <i>
      <x v="1"/>
    </i>
    <i>
      <x v="64"/>
    </i>
    <i>
      <x v="98"/>
    </i>
    <i>
      <x v="35"/>
    </i>
    <i>
      <x v="16"/>
    </i>
    <i>
      <x v="114"/>
    </i>
    <i>
      <x v="30"/>
    </i>
    <i>
      <x v="69"/>
    </i>
    <i>
      <x v="22"/>
    </i>
    <i>
      <x v="42"/>
    </i>
    <i>
      <x v="12"/>
    </i>
    <i>
      <x v="100"/>
    </i>
    <i>
      <x v="85"/>
    </i>
    <i>
      <x v="34"/>
    </i>
    <i>
      <x v="68"/>
    </i>
    <i>
      <x v="4"/>
    </i>
    <i>
      <x v="28"/>
    </i>
    <i>
      <x v="113"/>
    </i>
    <i>
      <x v="41"/>
    </i>
    <i>
      <x v="92"/>
    </i>
    <i>
      <x v="139"/>
    </i>
    <i>
      <x v="81"/>
    </i>
    <i>
      <x v="58"/>
    </i>
    <i>
      <x v="67"/>
    </i>
    <i>
      <x v="25"/>
    </i>
    <i>
      <x v="80"/>
    </i>
    <i>
      <x v="6"/>
    </i>
    <i>
      <x v="50"/>
    </i>
    <i>
      <x v="62"/>
    </i>
    <i>
      <x v="71"/>
    </i>
    <i>
      <x v="13"/>
    </i>
    <i>
      <x v="140"/>
    </i>
    <i>
      <x v="43"/>
    </i>
    <i>
      <x v="61"/>
    </i>
    <i>
      <x v="90"/>
    </i>
    <i>
      <x v="144"/>
    </i>
    <i>
      <x v="87"/>
    </i>
    <i>
      <x v="103"/>
    </i>
    <i>
      <x v="102"/>
    </i>
    <i>
      <x v="75"/>
    </i>
    <i>
      <x v="129"/>
    </i>
    <i>
      <x v="143"/>
    </i>
    <i>
      <x v="117"/>
    </i>
    <i>
      <x v="14"/>
    </i>
    <i>
      <x v="86"/>
    </i>
    <i>
      <x v="45"/>
    </i>
    <i>
      <x v="109"/>
    </i>
    <i>
      <x v="105"/>
    </i>
    <i>
      <x v="115"/>
    </i>
    <i>
      <x v="128"/>
    </i>
    <i>
      <x v="89"/>
    </i>
    <i>
      <x v="142"/>
    </i>
    <i>
      <x v="124"/>
    </i>
    <i>
      <x v="26"/>
    </i>
    <i>
      <x v="133"/>
    </i>
    <i>
      <x v="141"/>
    </i>
    <i>
      <x v="107"/>
    </i>
    <i>
      <x v="27"/>
    </i>
    <i>
      <x v="11"/>
    </i>
    <i>
      <x v="130"/>
    </i>
    <i>
      <x v="108"/>
    </i>
    <i>
      <x v="91"/>
    </i>
    <i>
      <x v="131"/>
    </i>
    <i>
      <x v="19"/>
    </i>
    <i>
      <x v="101"/>
    </i>
    <i>
      <x v="126"/>
    </i>
    <i>
      <x v="127"/>
    </i>
    <i>
      <x v="112"/>
    </i>
    <i>
      <x v="76"/>
    </i>
    <i>
      <x v="40"/>
    </i>
    <i>
      <x v="94"/>
    </i>
    <i>
      <x v="111"/>
    </i>
    <i>
      <x v="134"/>
    </i>
    <i>
      <x v="121"/>
    </i>
    <i>
      <x v="38"/>
    </i>
    <i>
      <x v="77"/>
    </i>
    <i>
      <x v="83"/>
    </i>
    <i>
      <x v="17"/>
    </i>
    <i>
      <x v="5"/>
    </i>
    <i>
      <x v="132"/>
    </i>
    <i>
      <x v="47"/>
    </i>
    <i>
      <x v="125"/>
    </i>
    <i>
      <x v="97"/>
    </i>
    <i>
      <x v="52"/>
    </i>
    <i>
      <x v="99"/>
    </i>
    <i>
      <x v="104"/>
    </i>
    <i>
      <x v="93"/>
    </i>
    <i>
      <x v="123"/>
    </i>
    <i>
      <x v="110"/>
    </i>
    <i>
      <x v="49"/>
    </i>
    <i>
      <x v="39"/>
    </i>
    <i>
      <x v="10"/>
    </i>
    <i>
      <x v="135"/>
    </i>
    <i>
      <x v="32"/>
    </i>
    <i>
      <x v="33"/>
    </i>
    <i>
      <x v="136"/>
    </i>
    <i>
      <x v="106"/>
    </i>
    <i t="grand">
      <x/>
    </i>
  </rowItems>
  <colItems count="1">
    <i/>
  </colItems>
  <dataFields count="1">
    <dataField name="Sum of Sales" fld="1" baseField="0" baseItem="0" numFmtId="164"/>
  </dataFields>
  <formats count="2">
    <format dxfId="31">
      <pivotArea outline="0" collapsedLevelsAreSubtotals="1" fieldPosition="0"/>
    </format>
    <format dxfId="30">
      <pivotArea dataOnly="0" labelOnly="1" outline="0" axis="axisValues" fieldPosition="0"/>
    </format>
  </formats>
  <pivotHierarchies count="46">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ustom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5EACCB-4269-4FF8-962C-8CEB5712C771}" name="PivotTable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s">
  <location ref="G1:H12" firstHeaderRow="1" firstDataRow="1" firstDataCol="1"/>
  <pivotFields count="6">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3"/>
    </i>
    <i>
      <x v="2"/>
    </i>
    <i>
      <x v="8"/>
    </i>
    <i>
      <x v="4"/>
    </i>
    <i>
      <x v="5"/>
    </i>
    <i>
      <x v="6"/>
    </i>
    <i>
      <x v="9"/>
    </i>
    <i>
      <x v="1"/>
    </i>
    <i>
      <x v="7"/>
    </i>
    <i t="grand">
      <x/>
    </i>
  </rowItems>
  <colItems count="1">
    <i/>
  </colItems>
  <dataFields count="1">
    <dataField name="Sum of Sales" fld="1" baseField="0" baseItem="0" numFmtId="164"/>
  </dataFields>
  <formats count="2">
    <format dxfId="33">
      <pivotArea outline="0" collapsedLevelsAreSubtotals="1" fieldPosition="0"/>
    </format>
    <format dxfId="32">
      <pivotArea dataOnly="0" labelOnly="1" outline="0" axis="axisValues" fieldPosition="0"/>
    </format>
  </formats>
  <chartFormats count="1">
    <chartFormat chart="4" format="5"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PROUDCTS]"/>
        <x15:activeTabTopLevelEntity name="[Custom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4CD8DF-7BCD-4D0D-AAFD-8138D15C527D}" name="PivotTable1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M1:N12" firstHeaderRow="1" firstDataRow="1" firstDataCol="1"/>
  <pivotFields count="5">
    <pivotField dataField="1" subtotalTop="0" showAll="0" defaultSubtotal="0"/>
    <pivotField axis="axisRow" allDrilled="1" subtotalTop="0" showAll="0"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6"/>
    </i>
    <i>
      <x v="8"/>
    </i>
    <i>
      <x v="4"/>
    </i>
    <i>
      <x/>
    </i>
    <i>
      <x v="7"/>
    </i>
    <i>
      <x v="2"/>
    </i>
    <i>
      <x v="5"/>
    </i>
    <i>
      <x v="9"/>
    </i>
    <i>
      <x v="3"/>
    </i>
    <i>
      <x v="1"/>
    </i>
    <i t="grand">
      <x/>
    </i>
  </rowItems>
  <colItems count="1">
    <i/>
  </colItems>
  <dataFields count="1">
    <dataField name="Sum of Sales" fld="0" baseField="0" baseItem="0" numFmtId="164"/>
  </dataFields>
  <formats count="2">
    <format dxfId="35">
      <pivotArea outline="0" collapsedLevelsAreSubtotals="1" fieldPosition="0"/>
    </format>
    <format dxfId="34">
      <pivotArea dataOnly="0" labelOnly="1" outline="0" axis="axisValues" fieldPosition="0"/>
    </format>
  </formats>
  <chartFormats count="2">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46">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ustomers_1]"/>
        <x15:activeTabTopLevelEntity name="[PROUD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6A1424-A6F2-4210-BE7C-104F537FA8C2}" name="PivotTable10"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Brand">
  <location ref="E1:F30" firstHeaderRow="1" firstDataRow="1" firstDataCol="1"/>
  <pivotFields count="5">
    <pivotField dataField="1" subtotalTop="0" showAll="0" defaultSubtotal="0"/>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Sales" fld="0" baseField="0" baseItem="0"/>
  </dataFields>
  <chartFormats count="3">
    <chartFormat chart="3"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ustomers_1]"/>
        <x15:activeTabTopLevelEntity name="[PROUD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69714D-CA9B-4FE9-B66E-703F2ADE6A44}" name="PivotTable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Customers">
  <location ref="A33:B44" firstHeaderRow="1"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3"/>
    </i>
    <i>
      <x v="1"/>
    </i>
    <i>
      <x v="9"/>
    </i>
    <i>
      <x v="5"/>
    </i>
    <i>
      <x/>
    </i>
    <i>
      <x v="7"/>
    </i>
    <i>
      <x v="8"/>
    </i>
    <i>
      <x v="4"/>
    </i>
    <i>
      <x v="6"/>
    </i>
    <i t="grand">
      <x/>
    </i>
  </rowItems>
  <colItems count="1">
    <i/>
  </colItems>
  <dataFields count="1">
    <dataField name="Sales" fld="1" baseField="0" baseItem="0" numFmtId="164"/>
  </dataFields>
  <formats count="17">
    <format dxfId="22">
      <pivotArea outline="0" collapsedLevelsAreSubtotals="1" fieldPosition="0"/>
    </format>
    <format dxfId="21">
      <pivotArea dataOnly="0" labelOnly="1" outline="0" axis="axisValues" fieldPosition="0"/>
    </format>
    <format dxfId="20">
      <pivotArea field="0" type="button" dataOnly="0" labelOnly="1" outline="0" axis="axisRow" fieldPosition="0"/>
    </format>
    <format dxfId="19">
      <pivotArea dataOnly="0" labelOnly="1" outline="0" axis="axisValues" fieldPosition="0"/>
    </format>
    <format dxfId="18">
      <pivotArea field="0" type="button" dataOnly="0" labelOnly="1" outline="0" axis="axisRow" fieldPosition="0"/>
    </format>
    <format dxfId="17">
      <pivotArea dataOnly="0" labelOnly="1" outline="0" axis="axisValues" fieldPosition="0"/>
    </format>
    <format dxfId="16">
      <pivotArea field="0" type="button" dataOnly="0" labelOnly="1" outline="0" axis="axisRow" fieldPosition="0"/>
    </format>
    <format dxfId="15">
      <pivotArea dataOnly="0" labelOnly="1" outline="0" axis="axisValues" fieldPosition="0"/>
    </format>
    <format dxfId="14">
      <pivotArea field="0" type="button" dataOnly="0" labelOnly="1" outline="0" axis="axisRow" fieldPosition="0"/>
    </format>
    <format dxfId="13">
      <pivotArea field="0" type="button" dataOnly="0" labelOnly="1" outline="0" axis="axisRow" fieldPosition="0"/>
    </format>
    <format dxfId="12">
      <pivotArea field="0" type="button" dataOnly="0" labelOnly="1" outline="0" axis="axisRow" fieldPosition="0"/>
    </format>
    <format dxfId="11">
      <pivotArea dataOnly="0" labelOnly="1" fieldPosition="0">
        <references count="1">
          <reference field="0" count="9">
            <x v="0"/>
            <x v="1"/>
            <x v="2"/>
            <x v="3"/>
            <x v="4"/>
            <x v="5"/>
            <x v="7"/>
            <x v="8"/>
            <x v="9"/>
          </reference>
        </references>
      </pivotArea>
    </format>
    <format dxfId="10">
      <pivotArea collapsedLevelsAreSubtotals="1" fieldPosition="0">
        <references count="1">
          <reference field="0" count="9">
            <x v="0"/>
            <x v="1"/>
            <x v="2"/>
            <x v="3"/>
            <x v="4"/>
            <x v="5"/>
            <x v="7"/>
            <x v="8"/>
            <x v="9"/>
          </reference>
        </references>
      </pivotArea>
    </format>
    <format dxfId="9">
      <pivotArea dataOnly="0" labelOnly="1" outline="0" axis="axisValues" fieldPosition="0"/>
    </format>
    <format dxfId="8">
      <pivotArea dataOnly="0" labelOnly="1" fieldPosition="0">
        <references count="1">
          <reference field="0" count="9">
            <x v="0"/>
            <x v="1"/>
            <x v="2"/>
            <x v="3"/>
            <x v="4"/>
            <x v="5"/>
            <x v="7"/>
            <x v="8"/>
            <x v="9"/>
          </reference>
        </references>
      </pivotArea>
    </format>
    <format dxfId="7">
      <pivotArea field="0" type="button" dataOnly="0" labelOnly="1" outline="0" axis="axisRow" fieldPosition="0"/>
    </format>
    <format dxfId="6">
      <pivotArea dataOnly="0" labelOnly="1" fieldPosition="0">
        <references count="1">
          <reference field="0" count="9">
            <x v="0"/>
            <x v="1"/>
            <x v="2"/>
            <x v="3"/>
            <x v="4"/>
            <x v="5"/>
            <x v="7"/>
            <x v="8"/>
            <x v="9"/>
          </reference>
        </references>
      </pivotArea>
    </format>
  </formats>
  <pivotHierarchies count="46">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ustomers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08ABBA2-6538-42CC-8794-C372B8F57507}" sourceName="[Customers_1].[City]">
  <pivotTables>
    <pivotTable tabId="45" name="PivotTable10"/>
    <pivotTable tabId="45" name="PivotTable11"/>
    <pivotTable tabId="45" name="PivotTable12"/>
    <pivotTable tabId="45" name="PivotTable14"/>
    <pivotTable tabId="45" name="PivotTable3"/>
    <pivotTable tabId="45" name="PivotTable8"/>
    <pivotTable tabId="48" name="PivotTable1"/>
  </pivotTables>
  <data>
    <olap pivotCacheId="1129519292">
      <levels count="2">
        <level uniqueName="[Customers_1].[City].[(All)]" sourceCaption="(All)" count="0"/>
        <level uniqueName="[Customers_1].[City].[City]" sourceCaption="City" count="4">
          <ranges>
            <range startItem="0">
              <i n="[Customers_1].[City].&amp;[Al Dammam]" c="Al Dammam"/>
              <i n="[Customers_1].[City].&amp;[Jeddah]" c="Jeddah"/>
              <i n="[Customers_1].[City].&amp;[Makkah]" c="Makkah"/>
              <i n="[Customers_1].[City].&amp;[Riyadh]" c="Riyadh"/>
            </range>
          </ranges>
        </level>
      </levels>
      <selections count="1">
        <selection n="[Customers_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91F7202-1B2E-4D9A-B669-679E7E354DE6}" sourceName="[Table3].[Order_Date (Month)]">
  <pivotTables>
    <pivotTable tabId="45" name="PivotTable10"/>
    <pivotTable tabId="45" name="PivotTable11"/>
    <pivotTable tabId="45" name="PivotTable12"/>
    <pivotTable tabId="45" name="PivotTable14"/>
    <pivotTable tabId="45" name="PivotTable3"/>
    <pivotTable tabId="45" name="PivotTable8"/>
    <pivotTable tabId="48" name="PivotTable1"/>
  </pivotTables>
  <data>
    <olap pivotCacheId="1129519292">
      <levels count="2">
        <level uniqueName="[Table3].[Order_Date (Month)].[(All)]" sourceCaption="(All)" count="0"/>
        <level uniqueName="[Table3].[Order_Date (Month)].[Order_Date (Month)]" sourceCaption="Order_Date (Month)" count="4">
          <ranges>
            <range startItem="0">
              <i n="[Table3].[Order_Date (Month)].&amp;[Sep]" c="Sep"/>
              <i n="[Table3].[Order_Date (Month)].&amp;[Oct]" c="Oct"/>
              <i n="[Table3].[Order_Date (Month)].&amp;[Nov]" c="Nov"/>
              <i n="[Table3].[Order_Date (Month)].&amp;[Dec]" c="Dec"/>
            </range>
          </ranges>
        </level>
      </levels>
      <selections count="1">
        <selection n="[Table3].[Order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C6A6EF1-70C7-4916-BC2D-0D32186796F9}" sourceName="[PROUDCTS].[Brand]">
  <pivotTables>
    <pivotTable tabId="45" name="PivotTable10"/>
    <pivotTable tabId="45" name="PivotTable11"/>
    <pivotTable tabId="45" name="PivotTable12"/>
    <pivotTable tabId="45" name="PivotTable14"/>
    <pivotTable tabId="45" name="PivotTable3"/>
    <pivotTable tabId="45" name="PivotTable8"/>
    <pivotTable tabId="48" name="PivotTable1"/>
  </pivotTables>
  <data>
    <olap pivotCacheId="1129519292">
      <levels count="2">
        <level uniqueName="[PROUDCTS].[Brand].[(All)]" sourceCaption="(All)" count="0"/>
        <level uniqueName="[PROUDCTS].[Brand].[Brand]" sourceCaption="Brand" count="28">
          <ranges>
            <range startItem="0">
              <i n="[PROUDCTS].[Brand].&amp;[AMD]" c="AMD"/>
              <i n="[PROUDCTS].[Brand].&amp;[Apple]" c="Apple"/>
              <i n="[PROUDCTS].[Brand].&amp;[ASUS]" c="ASUS"/>
              <i n="[PROUDCTS].[Brand].&amp;[Corsair]" c="Corsair"/>
              <i n="[PROUDCTS].[Brand].&amp;[Crucial]" c="Crucial"/>
              <i n="[PROUDCTS].[Brand].&amp;[Dell]" c="Dell"/>
              <i n="[PROUDCTS].[Brand].&amp;[HP]" c="HP"/>
              <i n="[PROUDCTS].[Brand].&amp;[HyperX]" c="HyperX"/>
              <i n="[PROUDCTS].[Brand].&amp;[Intel]" c="Intel"/>
              <i n="[PROUDCTS].[Brand].&amp;[Kingston_FURY]" c="Kingston_FURY"/>
              <i n="[PROUDCTS].[Brand].&amp;[LG]" c="LG"/>
              <i n="[PROUDCTS].[Brand].&amp;[Logitech]" c="Logitech"/>
              <i n="[PROUDCTS].[Brand].&amp;[Mouse_razer]" c="Mouse_razer"/>
              <i n="[PROUDCTS].[Brand].&amp;[MSI]" c="MSI"/>
              <i n="[PROUDCTS].[Brand].&amp;[Palit]" c="Palit"/>
              <i n="[PROUDCTS].[Brand].&amp;[PlayStation-5]" c="PlayStation-5"/>
              <i n="[PROUDCTS].[Brand].&amp;[PNY]" c="PNY"/>
              <i n="[PROUDCTS].[Brand].&amp;[Razer]" c="Razer"/>
              <i n="[PROUDCTS].[Brand].&amp;[Razer_Tartrus]" c="Razer_Tartrus"/>
              <i n="[PROUDCTS].[Brand].&amp;[Red-dragon]" c="Red-dragon"/>
              <i n="[PROUDCTS].[Brand].&amp;[Samsung]" c="Samsung"/>
              <i n="[PROUDCTS].[Brand].&amp;[Sapphire]" c="Sapphire"/>
              <i n="[PROUDCTS].[Brand].&amp;[Seagate]" c="Seagate"/>
              <i n="[PROUDCTS].[Brand].&amp;[SteelSeries]" c="SteelSeries"/>
              <i n="[PROUDCTS].[Brand].&amp;[WD]" c="WD"/>
              <i n="[PROUDCTS].[Brand].&amp;[Xbox_One]" c="Xbox_One"/>
              <i n="[PROUDCTS].[Brand].&amp;[Xbox_Series_X]" c="Xbox_Series_X"/>
              <i n="[PROUDCTS].[Brand].&amp;[XPG]" c="XPG"/>
            </range>
          </ranges>
        </level>
      </levels>
      <selections count="1">
        <selection n="[PROUDCTS].[Br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38FD96-044C-451C-B3E6-64024FC3E6F0}" sourceName="[PROUDCTS].[Category]">
  <pivotTables>
    <pivotTable tabId="45" name="PivotTable10"/>
    <pivotTable tabId="45" name="PivotTable11"/>
    <pivotTable tabId="45" name="PivotTable12"/>
    <pivotTable tabId="45" name="PivotTable14"/>
    <pivotTable tabId="45" name="PivotTable3"/>
    <pivotTable tabId="45" name="PivotTable8"/>
    <pivotTable tabId="48" name="PivotTable1"/>
  </pivotTables>
  <data>
    <olap pivotCacheId="1129519292">
      <levels count="2">
        <level uniqueName="[PROUDCTS].[Category].[(All)]" sourceCaption="(All)" count="0"/>
        <level uniqueName="[PROUDCTS].[Category].[Category]" sourceCaption="Category" count="10">
          <ranges>
            <range startItem="0">
              <i n="[PROUDCTS].[Category].&amp;[Consle]" c="Consle"/>
              <i n="[PROUDCTS].[Category].&amp;[CPU]" c="CPU"/>
              <i n="[PROUDCTS].[Category].&amp;[Gaming Headset]" c="Gaming Headset"/>
              <i n="[PROUDCTS].[Category].&amp;[GPU]" c="GPU"/>
              <i n="[PROUDCTS].[Category].&amp;[Kayboard]" c="Kayboard"/>
              <i n="[PROUDCTS].[Category].&amp;[Monitor]" c="Monitor"/>
              <i n="[PROUDCTS].[Category].&amp;[Motherboard]" c="Motherboard"/>
              <i n="[PROUDCTS].[Category].&amp;[Mouse]" c="Mouse"/>
              <i n="[PROUDCTS].[Category].&amp;[RAM]" c="RAM"/>
              <i n="[PROUDCTS].[Category].&amp;[Storage]" c="Storage"/>
            </range>
          </ranges>
        </level>
      </levels>
      <selections count="1">
        <selection n="[PROUD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42C1E8B-2745-4A12-BA98-156814965D9D}" cache="Slicer_City" caption="City" level="1" style="Slicer Style 2" rowHeight="257175"/>
  <slicer name="Order_Date (Month)" xr10:uid="{6FBFC710-FE83-45C4-ADE2-F415FBD0A961}" cache="Slicer_Order_Date__Month" caption="Order_Date (Month)" level="1" style="Slicer Style 2" rowHeight="257175"/>
  <slicer name="Brand" xr10:uid="{5A0F97ED-7326-49FF-A38E-2B7F6299D486}" cache="Slicer_Brand" caption="Brand" level="1" style="Slicer Style 2" rowHeight="257175"/>
  <slicer name="Category" xr10:uid="{94FA98CB-78AF-4AC9-A8B2-CB128C047916}" cache="Slicer_Category" caption="Category" level="1" style="Slicer Style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7803D8-B3B3-466C-90EC-AFAB6AA944AA}" name="Customers_1" displayName="Customers_1" ref="A1:E151" totalsRowShown="0" headerRowDxfId="54">
  <autoFilter ref="A1:E151" xr:uid="{747803D8-B3B3-466C-90EC-AFAB6AA944AA}"/>
  <tableColumns count="5">
    <tableColumn id="1" xr3:uid="{5131FEBD-C2BB-454B-A0A1-C84DF8C8EED8}" name="Customer_ID"/>
    <tableColumn id="2" xr3:uid="{C5463F31-8D92-4CE3-A16B-B68EAAB1CF1F}" name="Customer_Name"/>
    <tableColumn id="5" xr3:uid="{B32177C8-36E9-41D9-BA46-003BC365E171}" name="City"/>
    <tableColumn id="3" xr3:uid="{CD3CF886-8CBA-4AF3-BEA3-A856E98BE26E}" name="Phone_Number" dataDxfId="53"/>
    <tableColumn id="6" xr3:uid="{5FBDE7CF-2891-442B-9DEC-82180C22A3F7}" name="Email" dataDxfId="52">
      <calculatedColumnFormula>B2&amp;"@Ex.com"</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018D7F-3F20-4D0D-BD44-624ED8464B63}" name="PROUDCTS" displayName="PROUDCTS" ref="A1:E49" totalsRowShown="0" headerRowDxfId="51" dataDxfId="50" tableBorderDxfId="49">
  <autoFilter ref="A1:E49" xr:uid="{B8018D7F-3F20-4D0D-BD44-624ED8464B63}"/>
  <tableColumns count="5">
    <tableColumn id="1" xr3:uid="{B2E3AA1D-FE82-47FC-AE6D-B159CD640A76}" name="Prodct_ID" dataDxfId="48"/>
    <tableColumn id="2" xr3:uid="{C5E3E29F-CED2-49D1-A4E9-3680DB6CFE3C}" name="Product_Name" dataDxfId="47"/>
    <tableColumn id="3" xr3:uid="{C84962CA-FDA6-4891-A65D-B6DEC267925B}" name="Brand" dataDxfId="46"/>
    <tableColumn id="4" xr3:uid="{D34EB4EB-A706-4824-B58A-E23AFB06300E}" name="Category" dataDxfId="45"/>
    <tableColumn id="5" xr3:uid="{3B6CF753-62D1-4A84-92F0-A02AD8C3EACC}" name="Price" dataDxfId="44"/>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216926-9F0F-4B28-9355-3764CB3859A6}" name="Table3" displayName="Table3" ref="A1:I347" totalsRowShown="0" headerRowDxfId="43" dataDxfId="42">
  <autoFilter ref="A1:I347" xr:uid="{DA216926-9F0F-4B28-9355-3764CB3859A6}"/>
  <tableColumns count="9">
    <tableColumn id="1" xr3:uid="{12F8C128-82E9-4B88-8E2E-CEBAD05EF67E}" name="Order_ID" dataDxfId="2"/>
    <tableColumn id="8" xr3:uid="{1731DF37-B28C-4875-BE4D-71804E9BF60A}" name="Order_Date" dataDxfId="0"/>
    <tableColumn id="2" xr3:uid="{917832B5-7241-4677-8A63-5998401EDDFE}" name="Customer_ID" dataDxfId="1"/>
    <tableColumn id="3" xr3:uid="{0D2A139F-A17A-4068-BA4A-88A67DD881FC}" name="Product_ID" dataDxfId="41"/>
    <tableColumn id="4" xr3:uid="{AEE8EF2B-1402-4DBE-9F50-5AD1CE589F38}" name="Quantity" dataDxfId="40"/>
    <tableColumn id="6" xr3:uid="{7064B9BD-DFAF-4E59-99EF-785A594E8D71}" name="Unit_Price" dataDxfId="39">
      <calculatedColumnFormula>_xlfn.XLOOKUP(D2, Products!A:A,Products!E:E, )</calculatedColumnFormula>
    </tableColumn>
    <tableColumn id="7" xr3:uid="{3A5C305B-FC96-4774-8B91-228E4D3A3B29}" name="Sales" dataDxfId="38">
      <calculatedColumnFormula>E2 *F2</calculatedColumnFormula>
    </tableColumn>
    <tableColumn id="9" xr3:uid="{0A40EDAB-7C2A-49C0-BF0B-A2EC2D65584E}" name="Names" dataDxfId="37">
      <calculatedColumnFormula>_xlfn.XLOOKUP(C2,Customers!A:A,Customers!B:B)</calculatedColumnFormula>
    </tableColumn>
    <tableColumn id="11" xr3:uid="{500DB5DF-72D3-46DD-A7FC-1B4F1A0BB167}" name="Proudcts" dataDxfId="36">
      <calculatedColumnFormula>_xlfn.XLOOKUP(D2,Products!A:A,Products!B:B)</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2">
            <a:lumMod val="90000"/>
          </a:schemeClr>
        </a:solidFill>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8.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F880-7191-48F7-A4B8-7A8797B7F941}">
  <sheetPr codeName="Sheet1"/>
  <dimension ref="A1:G152"/>
  <sheetViews>
    <sheetView workbookViewId="0">
      <selection activeCell="G7" sqref="G7"/>
    </sheetView>
  </sheetViews>
  <sheetFormatPr defaultRowHeight="15" x14ac:dyDescent="0.25"/>
  <cols>
    <col min="1" max="1" width="23.42578125" customWidth="1"/>
    <col min="2" max="2" width="24.5703125" customWidth="1"/>
    <col min="3" max="3" width="36.140625" customWidth="1"/>
    <col min="4" max="4" width="21" style="44" customWidth="1"/>
    <col min="5" max="5" width="34.28515625" style="28" customWidth="1"/>
  </cols>
  <sheetData>
    <row r="1" spans="1:7" ht="30" customHeight="1" x14ac:dyDescent="0.25">
      <c r="A1" s="29" t="s">
        <v>200</v>
      </c>
      <c r="B1" s="38" t="s">
        <v>201</v>
      </c>
      <c r="C1" s="38" t="s">
        <v>204</v>
      </c>
      <c r="D1" s="43" t="s">
        <v>5</v>
      </c>
      <c r="E1" s="29" t="s">
        <v>6</v>
      </c>
    </row>
    <row r="2" spans="1:7" x14ac:dyDescent="0.25">
      <c r="A2">
        <v>1</v>
      </c>
      <c r="B2" t="s">
        <v>91</v>
      </c>
      <c r="C2" t="s">
        <v>205</v>
      </c>
      <c r="D2" s="44" t="s">
        <v>249</v>
      </c>
      <c r="E2" s="28" t="str">
        <f t="shared" ref="E2:E33" si="0">B2&amp;"@Ex.com"</f>
        <v>Mohammed Ali@Ex.com</v>
      </c>
    </row>
    <row r="3" spans="1:7" x14ac:dyDescent="0.25">
      <c r="A3">
        <v>2</v>
      </c>
      <c r="B3" t="s">
        <v>90</v>
      </c>
      <c r="C3" t="s">
        <v>206</v>
      </c>
      <c r="D3" s="44" t="s">
        <v>246</v>
      </c>
      <c r="E3" s="28" t="str">
        <f t="shared" si="0"/>
        <v>Mona Salah@Ex.com</v>
      </c>
    </row>
    <row r="4" spans="1:7" x14ac:dyDescent="0.25">
      <c r="A4">
        <v>3</v>
      </c>
      <c r="B4" t="s">
        <v>89</v>
      </c>
      <c r="C4" t="s">
        <v>207</v>
      </c>
      <c r="D4" s="44" t="s">
        <v>247</v>
      </c>
      <c r="E4" t="str">
        <f t="shared" si="0"/>
        <v>Turky Abdullah@Ex.com</v>
      </c>
    </row>
    <row r="5" spans="1:7" x14ac:dyDescent="0.25">
      <c r="A5">
        <v>4</v>
      </c>
      <c r="B5" s="33" t="s">
        <v>92</v>
      </c>
      <c r="C5" s="33" t="s">
        <v>208</v>
      </c>
      <c r="D5" s="44" t="s">
        <v>248</v>
      </c>
      <c r="E5" s="28" t="str">
        <f t="shared" si="0"/>
        <v xml:space="preserve"> Sara Khalid@Ex.com</v>
      </c>
    </row>
    <row r="6" spans="1:7" x14ac:dyDescent="0.25">
      <c r="A6">
        <v>5</v>
      </c>
      <c r="B6" s="33" t="s">
        <v>93</v>
      </c>
      <c r="C6" t="s">
        <v>205</v>
      </c>
      <c r="D6" s="44">
        <v>9661684955.5</v>
      </c>
      <c r="E6" s="28" t="str">
        <f t="shared" si="0"/>
        <v xml:space="preserve"> Omar Hassan@Ex.com</v>
      </c>
    </row>
    <row r="7" spans="1:7" x14ac:dyDescent="0.25">
      <c r="A7">
        <v>6</v>
      </c>
      <c r="B7" t="s">
        <v>94</v>
      </c>
      <c r="C7" t="s">
        <v>206</v>
      </c>
      <c r="D7" s="44" t="s">
        <v>249</v>
      </c>
      <c r="E7" s="28" t="str">
        <f t="shared" si="0"/>
        <v xml:space="preserve"> Noor Abdullah@Ex.com</v>
      </c>
      <c r="G7">
        <f>COUNTA(A:A)</f>
        <v>151</v>
      </c>
    </row>
    <row r="8" spans="1:7" x14ac:dyDescent="0.25">
      <c r="A8">
        <v>7</v>
      </c>
      <c r="B8" t="s">
        <v>95</v>
      </c>
      <c r="C8" t="s">
        <v>207</v>
      </c>
      <c r="D8" s="44" t="s">
        <v>246</v>
      </c>
      <c r="E8" s="28" t="str">
        <f t="shared" si="0"/>
        <v xml:space="preserve"> Faisal Mohammed@Ex.com</v>
      </c>
    </row>
    <row r="9" spans="1:7" x14ac:dyDescent="0.25">
      <c r="A9">
        <v>8</v>
      </c>
      <c r="B9" t="s">
        <v>96</v>
      </c>
      <c r="C9" s="33" t="s">
        <v>208</v>
      </c>
      <c r="D9" s="44" t="s">
        <v>247</v>
      </c>
      <c r="E9" s="28" t="str">
        <f t="shared" si="0"/>
        <v xml:space="preserve"> Aisha Saeed@Ex.com</v>
      </c>
    </row>
    <row r="10" spans="1:7" x14ac:dyDescent="0.25">
      <c r="A10">
        <v>9</v>
      </c>
      <c r="B10" t="s">
        <v>97</v>
      </c>
      <c r="C10" t="s">
        <v>205</v>
      </c>
      <c r="D10" s="44" t="s">
        <v>248</v>
      </c>
      <c r="E10" s="28" t="str">
        <f t="shared" si="0"/>
        <v xml:space="preserve"> Khaled Ibrahim@Ex.com</v>
      </c>
    </row>
    <row r="11" spans="1:7" x14ac:dyDescent="0.25">
      <c r="A11">
        <v>10</v>
      </c>
      <c r="B11" t="s">
        <v>98</v>
      </c>
      <c r="C11" t="s">
        <v>206</v>
      </c>
      <c r="D11" s="44">
        <v>9661684955.5</v>
      </c>
      <c r="E11" s="28" t="str">
        <f t="shared" si="0"/>
        <v xml:space="preserve"> Lina Abdulrahman@Ex.com</v>
      </c>
    </row>
    <row r="12" spans="1:7" x14ac:dyDescent="0.25">
      <c r="A12">
        <v>11</v>
      </c>
      <c r="B12" t="s">
        <v>99</v>
      </c>
      <c r="C12" t="s">
        <v>207</v>
      </c>
      <c r="D12" s="44" t="s">
        <v>249</v>
      </c>
      <c r="E12" s="28" t="str">
        <f t="shared" si="0"/>
        <v xml:space="preserve"> Youssef Nasser@Ex.com</v>
      </c>
    </row>
    <row r="13" spans="1:7" x14ac:dyDescent="0.25">
      <c r="A13">
        <v>12</v>
      </c>
      <c r="B13" t="s">
        <v>100</v>
      </c>
      <c r="C13" s="33" t="s">
        <v>208</v>
      </c>
      <c r="D13" s="44" t="s">
        <v>246</v>
      </c>
      <c r="E13" s="28" t="str">
        <f t="shared" si="0"/>
        <v xml:space="preserve"> Huda Saleh@Ex.com</v>
      </c>
    </row>
    <row r="14" spans="1:7" x14ac:dyDescent="0.25">
      <c r="A14">
        <v>13</v>
      </c>
      <c r="B14" t="s">
        <v>101</v>
      </c>
      <c r="C14" t="s">
        <v>205</v>
      </c>
      <c r="D14" s="44" t="s">
        <v>247</v>
      </c>
      <c r="E14" s="28" t="str">
        <f t="shared" si="0"/>
        <v xml:space="preserve"> Ahmed Faris@Ex.com</v>
      </c>
    </row>
    <row r="15" spans="1:7" x14ac:dyDescent="0.25">
      <c r="A15">
        <v>14</v>
      </c>
      <c r="B15" t="s">
        <v>102</v>
      </c>
      <c r="C15" t="s">
        <v>206</v>
      </c>
      <c r="D15" s="44" t="s">
        <v>248</v>
      </c>
      <c r="E15" s="28" t="str">
        <f t="shared" si="0"/>
        <v xml:space="preserve"> Reem Adel@Ex.com</v>
      </c>
    </row>
    <row r="16" spans="1:7" x14ac:dyDescent="0.25">
      <c r="A16">
        <v>15</v>
      </c>
      <c r="B16" t="s">
        <v>103</v>
      </c>
      <c r="C16" t="s">
        <v>207</v>
      </c>
      <c r="D16" s="44">
        <v>9661684955.5</v>
      </c>
      <c r="E16" s="28" t="str">
        <f t="shared" si="0"/>
        <v xml:space="preserve"> Abdullah Sami@Ex.com</v>
      </c>
    </row>
    <row r="17" spans="1:5" x14ac:dyDescent="0.25">
      <c r="A17">
        <v>16</v>
      </c>
      <c r="B17" t="s">
        <v>104</v>
      </c>
      <c r="C17" s="33" t="s">
        <v>208</v>
      </c>
      <c r="D17" s="44" t="s">
        <v>249</v>
      </c>
      <c r="E17" s="28" t="str">
        <f t="shared" si="0"/>
        <v xml:space="preserve"> Maha Yasin@Ex.com</v>
      </c>
    </row>
    <row r="18" spans="1:5" x14ac:dyDescent="0.25">
      <c r="A18">
        <v>17</v>
      </c>
      <c r="B18" t="s">
        <v>105</v>
      </c>
      <c r="C18" t="s">
        <v>205</v>
      </c>
      <c r="D18" s="44" t="s">
        <v>246</v>
      </c>
      <c r="E18" s="28" t="str">
        <f t="shared" si="0"/>
        <v xml:space="preserve"> Salman Rashid@Ex.com</v>
      </c>
    </row>
    <row r="19" spans="1:5" x14ac:dyDescent="0.25">
      <c r="A19">
        <v>18</v>
      </c>
      <c r="B19" t="s">
        <v>106</v>
      </c>
      <c r="C19" t="s">
        <v>206</v>
      </c>
      <c r="D19" s="44" t="s">
        <v>247</v>
      </c>
      <c r="E19" s="28" t="str">
        <f t="shared" si="0"/>
        <v xml:space="preserve"> Dana Faisal@Ex.com</v>
      </c>
    </row>
    <row r="20" spans="1:5" x14ac:dyDescent="0.25">
      <c r="A20">
        <v>19</v>
      </c>
      <c r="B20" t="s">
        <v>107</v>
      </c>
      <c r="C20" t="s">
        <v>207</v>
      </c>
      <c r="D20" s="44" t="s">
        <v>248</v>
      </c>
      <c r="E20" s="28" t="str">
        <f t="shared" si="0"/>
        <v xml:space="preserve"> Ibrahim Tarek@Ex.com</v>
      </c>
    </row>
    <row r="21" spans="1:5" x14ac:dyDescent="0.25">
      <c r="A21">
        <v>20</v>
      </c>
      <c r="B21" t="s">
        <v>108</v>
      </c>
      <c r="C21" s="33" t="s">
        <v>206</v>
      </c>
      <c r="D21" s="44">
        <v>9661684955.5</v>
      </c>
      <c r="E21" s="28" t="str">
        <f t="shared" si="0"/>
        <v xml:space="preserve"> Noura Majed@Ex.com</v>
      </c>
    </row>
    <row r="22" spans="1:5" x14ac:dyDescent="0.25">
      <c r="A22">
        <v>21</v>
      </c>
      <c r="B22" t="s">
        <v>109</v>
      </c>
      <c r="C22" t="s">
        <v>205</v>
      </c>
      <c r="D22" s="44" t="s">
        <v>249</v>
      </c>
      <c r="E22" s="28" t="str">
        <f t="shared" si="0"/>
        <v xml:space="preserve"> Hassan Ali@Ex.com</v>
      </c>
    </row>
    <row r="23" spans="1:5" x14ac:dyDescent="0.25">
      <c r="A23">
        <v>22</v>
      </c>
      <c r="B23" t="s">
        <v>110</v>
      </c>
      <c r="C23" t="s">
        <v>206</v>
      </c>
      <c r="D23" s="44" t="s">
        <v>246</v>
      </c>
      <c r="E23" s="28" t="str">
        <f t="shared" si="0"/>
        <v xml:space="preserve"> Rania Sultan@Ex.com</v>
      </c>
    </row>
    <row r="24" spans="1:5" x14ac:dyDescent="0.25">
      <c r="A24">
        <v>23</v>
      </c>
      <c r="B24" t="s">
        <v>111</v>
      </c>
      <c r="C24" t="s">
        <v>207</v>
      </c>
      <c r="D24" s="44" t="s">
        <v>247</v>
      </c>
      <c r="E24" s="28" t="str">
        <f t="shared" si="0"/>
        <v xml:space="preserve"> Saad Mutlaq@Ex.com</v>
      </c>
    </row>
    <row r="25" spans="1:5" x14ac:dyDescent="0.25">
      <c r="A25">
        <v>24</v>
      </c>
      <c r="B25" t="s">
        <v>112</v>
      </c>
      <c r="C25" s="33" t="s">
        <v>206</v>
      </c>
      <c r="D25" s="44" t="s">
        <v>248</v>
      </c>
      <c r="E25" s="28" t="str">
        <f t="shared" si="0"/>
        <v xml:space="preserve"> Mona Hisham@Ex.com</v>
      </c>
    </row>
    <row r="26" spans="1:5" x14ac:dyDescent="0.25">
      <c r="A26">
        <v>25</v>
      </c>
      <c r="B26" t="s">
        <v>113</v>
      </c>
      <c r="C26" t="s">
        <v>205</v>
      </c>
      <c r="D26" s="44">
        <v>9661684955.5</v>
      </c>
      <c r="E26" s="28" t="str">
        <f t="shared" si="0"/>
        <v xml:space="preserve"> Talal Nawaf@Ex.com</v>
      </c>
    </row>
    <row r="27" spans="1:5" x14ac:dyDescent="0.25">
      <c r="A27">
        <v>26</v>
      </c>
      <c r="B27" t="s">
        <v>114</v>
      </c>
      <c r="C27" t="s">
        <v>206</v>
      </c>
      <c r="D27" s="44" t="s">
        <v>249</v>
      </c>
      <c r="E27" s="28" t="str">
        <f t="shared" si="0"/>
        <v xml:space="preserve"> Aya Mahmoud@Ex.com</v>
      </c>
    </row>
    <row r="28" spans="1:5" x14ac:dyDescent="0.25">
      <c r="A28">
        <v>27</v>
      </c>
      <c r="B28" t="s">
        <v>115</v>
      </c>
      <c r="C28" t="s">
        <v>207</v>
      </c>
      <c r="D28" s="44" t="s">
        <v>246</v>
      </c>
      <c r="E28" s="28" t="str">
        <f t="shared" si="0"/>
        <v xml:space="preserve"> Zaid Omar@Ex.com</v>
      </c>
    </row>
    <row r="29" spans="1:5" x14ac:dyDescent="0.25">
      <c r="A29">
        <v>28</v>
      </c>
      <c r="B29" t="s">
        <v>116</v>
      </c>
      <c r="C29" s="33" t="s">
        <v>206</v>
      </c>
      <c r="D29" s="44" t="s">
        <v>247</v>
      </c>
      <c r="E29" s="28" t="str">
        <f t="shared" si="0"/>
        <v xml:space="preserve"> Laila Qasim@Ex.com</v>
      </c>
    </row>
    <row r="30" spans="1:5" x14ac:dyDescent="0.25">
      <c r="A30">
        <v>29</v>
      </c>
      <c r="B30" t="s">
        <v>117</v>
      </c>
      <c r="C30" t="s">
        <v>205</v>
      </c>
      <c r="D30" s="44" t="s">
        <v>248</v>
      </c>
      <c r="E30" s="28" t="str">
        <f t="shared" si="0"/>
        <v xml:space="preserve"> Fahad Turki@Ex.com</v>
      </c>
    </row>
    <row r="31" spans="1:5" x14ac:dyDescent="0.25">
      <c r="A31">
        <v>30</v>
      </c>
      <c r="B31" t="s">
        <v>118</v>
      </c>
      <c r="C31" t="s">
        <v>206</v>
      </c>
      <c r="D31" s="44">
        <v>9661684955.5</v>
      </c>
      <c r="E31" s="28" t="str">
        <f t="shared" si="0"/>
        <v xml:space="preserve"> Bushra Amin@Ex.com</v>
      </c>
    </row>
    <row r="32" spans="1:5" x14ac:dyDescent="0.25">
      <c r="A32">
        <v>31</v>
      </c>
      <c r="B32" t="s">
        <v>119</v>
      </c>
      <c r="C32" t="s">
        <v>207</v>
      </c>
      <c r="D32" s="44" t="s">
        <v>249</v>
      </c>
      <c r="E32" s="28" t="str">
        <f t="shared" si="0"/>
        <v xml:space="preserve"> Mohammed Aziz@Ex.com</v>
      </c>
    </row>
    <row r="33" spans="1:5" x14ac:dyDescent="0.25">
      <c r="A33">
        <v>32</v>
      </c>
      <c r="B33" t="s">
        <v>120</v>
      </c>
      <c r="C33" s="33" t="s">
        <v>206</v>
      </c>
      <c r="D33" s="44" t="s">
        <v>246</v>
      </c>
      <c r="E33" s="28" t="str">
        <f t="shared" si="0"/>
        <v xml:space="preserve"> Rana Bilal@Ex.com</v>
      </c>
    </row>
    <row r="34" spans="1:5" x14ac:dyDescent="0.25">
      <c r="A34">
        <v>33</v>
      </c>
      <c r="B34" t="s">
        <v>121</v>
      </c>
      <c r="C34" t="s">
        <v>206</v>
      </c>
      <c r="D34" s="44" t="s">
        <v>247</v>
      </c>
      <c r="E34" s="28" t="str">
        <f t="shared" ref="E34:E65" si="1">B34&amp;"@Ex.com"</f>
        <v xml:space="preserve"> Nawaf Abdullah@Ex.com</v>
      </c>
    </row>
    <row r="35" spans="1:5" x14ac:dyDescent="0.25">
      <c r="A35">
        <v>34</v>
      </c>
      <c r="B35" t="s">
        <v>122</v>
      </c>
      <c r="C35" t="s">
        <v>206</v>
      </c>
      <c r="D35" s="44" t="s">
        <v>248</v>
      </c>
      <c r="E35" s="28" t="str">
        <f t="shared" si="1"/>
        <v xml:space="preserve"> Fatimah Kareem@Ex.com</v>
      </c>
    </row>
    <row r="36" spans="1:5" x14ac:dyDescent="0.25">
      <c r="A36">
        <v>35</v>
      </c>
      <c r="B36" t="s">
        <v>123</v>
      </c>
      <c r="C36" t="s">
        <v>207</v>
      </c>
      <c r="D36" s="44">
        <v>9661684955.5</v>
      </c>
      <c r="E36" s="28" t="str">
        <f t="shared" si="1"/>
        <v xml:space="preserve"> Bandar Saleh@Ex.com</v>
      </c>
    </row>
    <row r="37" spans="1:5" x14ac:dyDescent="0.25">
      <c r="A37">
        <v>36</v>
      </c>
      <c r="B37" t="s">
        <v>124</v>
      </c>
      <c r="C37" s="33" t="s">
        <v>208</v>
      </c>
      <c r="D37" s="44" t="s">
        <v>249</v>
      </c>
      <c r="E37" s="28" t="str">
        <f t="shared" si="1"/>
        <v xml:space="preserve"> Eman Samir@Ex.com</v>
      </c>
    </row>
    <row r="38" spans="1:5" x14ac:dyDescent="0.25">
      <c r="A38">
        <v>37</v>
      </c>
      <c r="B38" t="s">
        <v>125</v>
      </c>
      <c r="C38" t="s">
        <v>205</v>
      </c>
      <c r="D38" s="44" t="s">
        <v>246</v>
      </c>
      <c r="E38" s="28" t="str">
        <f t="shared" si="1"/>
        <v xml:space="preserve"> Abdulaziz Khalaf@Ex.com</v>
      </c>
    </row>
    <row r="39" spans="1:5" x14ac:dyDescent="0.25">
      <c r="A39">
        <v>38</v>
      </c>
      <c r="B39" t="s">
        <v>126</v>
      </c>
      <c r="C39" t="s">
        <v>206</v>
      </c>
      <c r="D39" s="44" t="s">
        <v>247</v>
      </c>
      <c r="E39" s="28" t="str">
        <f t="shared" si="1"/>
        <v xml:space="preserve"> Mariam Anwar@Ex.com</v>
      </c>
    </row>
    <row r="40" spans="1:5" x14ac:dyDescent="0.25">
      <c r="A40">
        <v>39</v>
      </c>
      <c r="B40" t="s">
        <v>127</v>
      </c>
      <c r="C40" t="s">
        <v>207</v>
      </c>
      <c r="D40" s="44" t="s">
        <v>248</v>
      </c>
      <c r="E40" s="28" t="str">
        <f t="shared" si="1"/>
        <v xml:space="preserve"> Osama Jamal@Ex.com</v>
      </c>
    </row>
    <row r="41" spans="1:5" x14ac:dyDescent="0.25">
      <c r="A41">
        <v>40</v>
      </c>
      <c r="B41" t="s">
        <v>128</v>
      </c>
      <c r="C41" s="33" t="s">
        <v>208</v>
      </c>
      <c r="D41" s="44">
        <v>9661684955.5</v>
      </c>
      <c r="E41" s="28" t="str">
        <f t="shared" si="1"/>
        <v xml:space="preserve"> Nada Refaat@Ex.com</v>
      </c>
    </row>
    <row r="42" spans="1:5" x14ac:dyDescent="0.25">
      <c r="A42">
        <v>41</v>
      </c>
      <c r="B42" t="s">
        <v>129</v>
      </c>
      <c r="C42" t="s">
        <v>205</v>
      </c>
      <c r="D42" s="44" t="s">
        <v>249</v>
      </c>
      <c r="E42" s="28" t="str">
        <f t="shared" si="1"/>
        <v xml:space="preserve"> Sultan Fahd@Ex.com</v>
      </c>
    </row>
    <row r="43" spans="1:5" x14ac:dyDescent="0.25">
      <c r="A43">
        <v>42</v>
      </c>
      <c r="B43" t="s">
        <v>130</v>
      </c>
      <c r="C43" t="s">
        <v>206</v>
      </c>
      <c r="D43" s="44" t="s">
        <v>246</v>
      </c>
      <c r="E43" s="28" t="str">
        <f t="shared" si="1"/>
        <v xml:space="preserve"> Heba Ismail@Ex.com</v>
      </c>
    </row>
    <row r="44" spans="1:5" x14ac:dyDescent="0.25">
      <c r="A44">
        <v>43</v>
      </c>
      <c r="B44" t="s">
        <v>131</v>
      </c>
      <c r="C44" t="s">
        <v>207</v>
      </c>
      <c r="D44" s="44" t="s">
        <v>247</v>
      </c>
      <c r="E44" s="28" t="str">
        <f t="shared" si="1"/>
        <v xml:space="preserve"> Tariq Abdulaziz@Ex.com</v>
      </c>
    </row>
    <row r="45" spans="1:5" x14ac:dyDescent="0.25">
      <c r="A45">
        <v>44</v>
      </c>
      <c r="B45" t="s">
        <v>132</v>
      </c>
      <c r="C45" s="33" t="s">
        <v>208</v>
      </c>
      <c r="D45" s="44" t="s">
        <v>248</v>
      </c>
      <c r="E45" s="28" t="str">
        <f t="shared" si="1"/>
        <v xml:space="preserve"> Salma Yousif@Ex.com</v>
      </c>
    </row>
    <row r="46" spans="1:5" x14ac:dyDescent="0.25">
      <c r="A46">
        <v>45</v>
      </c>
      <c r="B46" t="s">
        <v>133</v>
      </c>
      <c r="C46" t="s">
        <v>205</v>
      </c>
      <c r="D46" s="44">
        <v>9661684955.5</v>
      </c>
      <c r="E46" s="28" t="str">
        <f t="shared" si="1"/>
        <v xml:space="preserve"> Majed Abdullah@Ex.com</v>
      </c>
    </row>
    <row r="47" spans="1:5" x14ac:dyDescent="0.25">
      <c r="A47">
        <v>46</v>
      </c>
      <c r="B47" t="s">
        <v>134</v>
      </c>
      <c r="C47" t="s">
        <v>206</v>
      </c>
      <c r="D47" s="44" t="s">
        <v>249</v>
      </c>
      <c r="E47" s="28" t="str">
        <f t="shared" si="1"/>
        <v xml:space="preserve"> Yasmin Nabil@Ex.com</v>
      </c>
    </row>
    <row r="48" spans="1:5" x14ac:dyDescent="0.25">
      <c r="A48">
        <v>47</v>
      </c>
      <c r="B48" t="s">
        <v>135</v>
      </c>
      <c r="C48" t="s">
        <v>207</v>
      </c>
      <c r="D48" s="44" t="s">
        <v>246</v>
      </c>
      <c r="E48" s="28" t="str">
        <f t="shared" si="1"/>
        <v xml:space="preserve"> Rashed Ali@Ex.com</v>
      </c>
    </row>
    <row r="49" spans="1:5" x14ac:dyDescent="0.25">
      <c r="A49">
        <v>48</v>
      </c>
      <c r="B49" t="s">
        <v>136</v>
      </c>
      <c r="C49" s="33" t="s">
        <v>208</v>
      </c>
      <c r="D49" s="44" t="s">
        <v>247</v>
      </c>
      <c r="E49" s="28" t="str">
        <f t="shared" si="1"/>
        <v xml:space="preserve"> Abeer Saif@Ex.com</v>
      </c>
    </row>
    <row r="50" spans="1:5" x14ac:dyDescent="0.25">
      <c r="A50">
        <v>49</v>
      </c>
      <c r="B50" t="s">
        <v>137</v>
      </c>
      <c r="C50" t="s">
        <v>205</v>
      </c>
      <c r="D50" s="44" t="s">
        <v>248</v>
      </c>
      <c r="E50" s="28" t="str">
        <f t="shared" si="1"/>
        <v xml:space="preserve"> Muteb Khalid@Ex.com</v>
      </c>
    </row>
    <row r="51" spans="1:5" x14ac:dyDescent="0.25">
      <c r="A51">
        <v>50</v>
      </c>
      <c r="B51" t="s">
        <v>138</v>
      </c>
      <c r="C51" t="s">
        <v>206</v>
      </c>
      <c r="D51" s="44">
        <v>9661684955.5</v>
      </c>
      <c r="E51" s="28" t="str">
        <f t="shared" si="1"/>
        <v xml:space="preserve"> Hanan Adel@Ex.com</v>
      </c>
    </row>
    <row r="52" spans="1:5" x14ac:dyDescent="0.25">
      <c r="A52">
        <v>51</v>
      </c>
      <c r="B52" t="s">
        <v>139</v>
      </c>
      <c r="C52" t="s">
        <v>207</v>
      </c>
      <c r="D52" s="44" t="s">
        <v>249</v>
      </c>
      <c r="E52" s="28" t="str">
        <f t="shared" si="1"/>
        <v xml:space="preserve"> Abdulrahman Saeed@Ex.com</v>
      </c>
    </row>
    <row r="53" spans="1:5" x14ac:dyDescent="0.25">
      <c r="A53">
        <v>52</v>
      </c>
      <c r="B53" t="s">
        <v>140</v>
      </c>
      <c r="C53" s="33" t="s">
        <v>208</v>
      </c>
      <c r="D53" s="44" t="s">
        <v>246</v>
      </c>
      <c r="E53" s="28" t="str">
        <f t="shared" si="1"/>
        <v xml:space="preserve"> Dalia Hassan@Ex.com</v>
      </c>
    </row>
    <row r="54" spans="1:5" x14ac:dyDescent="0.25">
      <c r="A54">
        <v>53</v>
      </c>
      <c r="B54" t="s">
        <v>141</v>
      </c>
      <c r="C54" t="s">
        <v>205</v>
      </c>
      <c r="D54" s="44" t="s">
        <v>247</v>
      </c>
      <c r="E54" s="28" t="str">
        <f t="shared" si="1"/>
        <v xml:space="preserve"> Sami Fawzi@Ex.com</v>
      </c>
    </row>
    <row r="55" spans="1:5" x14ac:dyDescent="0.25">
      <c r="A55">
        <v>54</v>
      </c>
      <c r="B55" t="s">
        <v>142</v>
      </c>
      <c r="C55" t="s">
        <v>206</v>
      </c>
      <c r="D55" s="44" t="s">
        <v>248</v>
      </c>
      <c r="E55" s="28" t="str">
        <f t="shared" si="1"/>
        <v xml:space="preserve"> Shatha Omar@Ex.com</v>
      </c>
    </row>
    <row r="56" spans="1:5" x14ac:dyDescent="0.25">
      <c r="A56">
        <v>55</v>
      </c>
      <c r="B56" t="s">
        <v>143</v>
      </c>
      <c r="C56" t="s">
        <v>207</v>
      </c>
      <c r="D56" s="44">
        <v>9661684955.5</v>
      </c>
      <c r="E56" s="28" t="str">
        <f t="shared" si="1"/>
        <v xml:space="preserve"> Nasser Hamad@Ex.com</v>
      </c>
    </row>
    <row r="57" spans="1:5" x14ac:dyDescent="0.25">
      <c r="A57">
        <v>56</v>
      </c>
      <c r="B57" t="s">
        <v>144</v>
      </c>
      <c r="C57" s="33" t="s">
        <v>208</v>
      </c>
      <c r="D57" s="44" t="s">
        <v>249</v>
      </c>
      <c r="E57" s="28" t="str">
        <f t="shared" si="1"/>
        <v xml:space="preserve"> Lubna Khalil@Ex.com</v>
      </c>
    </row>
    <row r="58" spans="1:5" x14ac:dyDescent="0.25">
      <c r="A58">
        <v>57</v>
      </c>
      <c r="B58" t="s">
        <v>145</v>
      </c>
      <c r="C58" t="s">
        <v>205</v>
      </c>
      <c r="D58" s="44" t="s">
        <v>246</v>
      </c>
      <c r="E58" s="28" t="str">
        <f t="shared" si="1"/>
        <v xml:space="preserve"> Fahd Salem@Ex.com</v>
      </c>
    </row>
    <row r="59" spans="1:5" x14ac:dyDescent="0.25">
      <c r="A59">
        <v>58</v>
      </c>
      <c r="B59" t="s">
        <v>146</v>
      </c>
      <c r="C59" t="s">
        <v>206</v>
      </c>
      <c r="D59" s="44" t="s">
        <v>247</v>
      </c>
      <c r="E59" s="28" t="str">
        <f t="shared" si="1"/>
        <v xml:space="preserve"> Inas Tamer@Ex.com</v>
      </c>
    </row>
    <row r="60" spans="1:5" x14ac:dyDescent="0.25">
      <c r="A60">
        <v>59</v>
      </c>
      <c r="B60" t="s">
        <v>147</v>
      </c>
      <c r="C60" t="s">
        <v>207</v>
      </c>
      <c r="D60" s="44" t="s">
        <v>248</v>
      </c>
      <c r="E60" s="28" t="str">
        <f t="shared" si="1"/>
        <v xml:space="preserve"> Khalaf Abdullah@Ex.com</v>
      </c>
    </row>
    <row r="61" spans="1:5" x14ac:dyDescent="0.25">
      <c r="A61">
        <v>60</v>
      </c>
      <c r="B61" t="s">
        <v>148</v>
      </c>
      <c r="C61" s="33" t="s">
        <v>208</v>
      </c>
      <c r="D61" s="44">
        <v>9661684955.5</v>
      </c>
      <c r="E61" s="28" t="str">
        <f t="shared" si="1"/>
        <v xml:space="preserve"> Rawan Mazen@Ex.com</v>
      </c>
    </row>
    <row r="62" spans="1:5" x14ac:dyDescent="0.25">
      <c r="A62">
        <v>61</v>
      </c>
      <c r="B62" t="s">
        <v>149</v>
      </c>
      <c r="C62" t="s">
        <v>205</v>
      </c>
      <c r="D62" s="44" t="s">
        <v>249</v>
      </c>
      <c r="E62" s="28" t="str">
        <f t="shared" si="1"/>
        <v xml:space="preserve"> Hamad Ibrahim@Ex.com</v>
      </c>
    </row>
    <row r="63" spans="1:5" x14ac:dyDescent="0.25">
      <c r="A63">
        <v>62</v>
      </c>
      <c r="B63" t="s">
        <v>150</v>
      </c>
      <c r="C63" t="s">
        <v>206</v>
      </c>
      <c r="D63" s="44" t="s">
        <v>246</v>
      </c>
      <c r="E63" s="28" t="str">
        <f t="shared" si="1"/>
        <v xml:space="preserve"> Sawsan Akram@Ex.com</v>
      </c>
    </row>
    <row r="64" spans="1:5" x14ac:dyDescent="0.25">
      <c r="A64">
        <v>63</v>
      </c>
      <c r="B64" t="s">
        <v>151</v>
      </c>
      <c r="C64" t="s">
        <v>207</v>
      </c>
      <c r="D64" s="44" t="s">
        <v>247</v>
      </c>
      <c r="E64" s="28" t="str">
        <f t="shared" si="1"/>
        <v xml:space="preserve"> Turki Salman@Ex.com</v>
      </c>
    </row>
    <row r="65" spans="1:5" x14ac:dyDescent="0.25">
      <c r="A65">
        <v>64</v>
      </c>
      <c r="B65" t="s">
        <v>152</v>
      </c>
      <c r="C65" s="33" t="s">
        <v>208</v>
      </c>
      <c r="D65" s="44" t="s">
        <v>248</v>
      </c>
      <c r="E65" s="28" t="str">
        <f t="shared" si="1"/>
        <v xml:space="preserve"> Mai Reda@Ex.com</v>
      </c>
    </row>
    <row r="66" spans="1:5" x14ac:dyDescent="0.25">
      <c r="A66">
        <v>65</v>
      </c>
      <c r="B66" t="s">
        <v>153</v>
      </c>
      <c r="C66" t="s">
        <v>205</v>
      </c>
      <c r="D66" s="44">
        <v>9661684955.5</v>
      </c>
      <c r="E66" s="28" t="str">
        <f t="shared" ref="E66:E97" si="2">B66&amp;"@Ex.com"</f>
        <v xml:space="preserve"> Adel Yaqoub@Ex.com</v>
      </c>
    </row>
    <row r="67" spans="1:5" x14ac:dyDescent="0.25">
      <c r="A67">
        <v>66</v>
      </c>
      <c r="B67" t="s">
        <v>154</v>
      </c>
      <c r="C67" t="s">
        <v>206</v>
      </c>
      <c r="D67" s="44" t="s">
        <v>249</v>
      </c>
      <c r="E67" s="28" t="str">
        <f t="shared" si="2"/>
        <v xml:space="preserve"> Suha Qais@Ex.com</v>
      </c>
    </row>
    <row r="68" spans="1:5" x14ac:dyDescent="0.25">
      <c r="A68">
        <v>67</v>
      </c>
      <c r="B68" t="s">
        <v>155</v>
      </c>
      <c r="C68" t="s">
        <v>207</v>
      </c>
      <c r="D68" s="44" t="s">
        <v>246</v>
      </c>
      <c r="E68" s="28" t="str">
        <f t="shared" si="2"/>
        <v xml:space="preserve"> Bilal Farhan@Ex.com</v>
      </c>
    </row>
    <row r="69" spans="1:5" x14ac:dyDescent="0.25">
      <c r="A69">
        <v>68</v>
      </c>
      <c r="B69" t="s">
        <v>156</v>
      </c>
      <c r="C69" s="33" t="s">
        <v>208</v>
      </c>
      <c r="D69" s="44" t="s">
        <v>247</v>
      </c>
      <c r="E69" s="28" t="str">
        <f t="shared" si="2"/>
        <v xml:space="preserve"> Rima Ziad@Ex.com</v>
      </c>
    </row>
    <row r="70" spans="1:5" x14ac:dyDescent="0.25">
      <c r="A70">
        <v>69</v>
      </c>
      <c r="B70" t="s">
        <v>157</v>
      </c>
      <c r="C70" t="s">
        <v>205</v>
      </c>
      <c r="D70" s="44" t="s">
        <v>248</v>
      </c>
      <c r="E70" s="28" t="str">
        <f t="shared" si="2"/>
        <v xml:space="preserve"> Walid Ashraf@Ex.com</v>
      </c>
    </row>
    <row r="71" spans="1:5" x14ac:dyDescent="0.25">
      <c r="A71">
        <v>70</v>
      </c>
      <c r="B71" t="s">
        <v>158</v>
      </c>
      <c r="C71" t="s">
        <v>206</v>
      </c>
      <c r="D71" s="44">
        <v>9661684955.5</v>
      </c>
      <c r="E71" s="28" t="str">
        <f t="shared" si="2"/>
        <v xml:space="preserve"> Nourhan Fadi@Ex.com</v>
      </c>
    </row>
    <row r="72" spans="1:5" x14ac:dyDescent="0.25">
      <c r="A72">
        <v>71</v>
      </c>
      <c r="B72" t="s">
        <v>159</v>
      </c>
      <c r="C72" t="s">
        <v>207</v>
      </c>
      <c r="D72" s="44" t="s">
        <v>249</v>
      </c>
      <c r="E72" s="28" t="str">
        <f t="shared" si="2"/>
        <v xml:space="preserve"> Jamal Nasser@Ex.com</v>
      </c>
    </row>
    <row r="73" spans="1:5" x14ac:dyDescent="0.25">
      <c r="A73">
        <v>72</v>
      </c>
      <c r="B73" t="s">
        <v>160</v>
      </c>
      <c r="C73" s="33" t="s">
        <v>208</v>
      </c>
      <c r="D73" s="44" t="s">
        <v>246</v>
      </c>
      <c r="E73" s="28" t="str">
        <f t="shared" si="2"/>
        <v xml:space="preserve"> Tasneem Hani@Ex.com</v>
      </c>
    </row>
    <row r="74" spans="1:5" x14ac:dyDescent="0.25">
      <c r="A74">
        <v>73</v>
      </c>
      <c r="B74" t="s">
        <v>161</v>
      </c>
      <c r="C74" t="s">
        <v>205</v>
      </c>
      <c r="D74" s="44" t="s">
        <v>247</v>
      </c>
      <c r="E74" s="28" t="str">
        <f t="shared" si="2"/>
        <v xml:space="preserve"> Mishal Saud@Ex.com</v>
      </c>
    </row>
    <row r="75" spans="1:5" x14ac:dyDescent="0.25">
      <c r="A75">
        <v>74</v>
      </c>
      <c r="B75" t="s">
        <v>162</v>
      </c>
      <c r="C75" t="s">
        <v>206</v>
      </c>
      <c r="D75" s="44" t="s">
        <v>248</v>
      </c>
      <c r="E75" s="28" t="str">
        <f t="shared" si="2"/>
        <v xml:space="preserve"> Ghada Bassam@Ex.com</v>
      </c>
    </row>
    <row r="76" spans="1:5" x14ac:dyDescent="0.25">
      <c r="A76">
        <v>75</v>
      </c>
      <c r="B76" t="s">
        <v>163</v>
      </c>
      <c r="C76" t="s">
        <v>207</v>
      </c>
      <c r="D76" s="44">
        <v>9661684955.5</v>
      </c>
      <c r="E76" s="28" t="str">
        <f t="shared" si="2"/>
        <v xml:space="preserve"> Riyadh Mansour@Ex.com</v>
      </c>
    </row>
    <row r="77" spans="1:5" x14ac:dyDescent="0.25">
      <c r="A77">
        <v>76</v>
      </c>
      <c r="B77" t="s">
        <v>164</v>
      </c>
      <c r="C77" s="33" t="s">
        <v>208</v>
      </c>
      <c r="D77" s="44" t="s">
        <v>249</v>
      </c>
      <c r="E77" s="28" t="str">
        <f t="shared" si="2"/>
        <v xml:space="preserve"> Lama Aref@Ex.com</v>
      </c>
    </row>
    <row r="78" spans="1:5" x14ac:dyDescent="0.25">
      <c r="A78">
        <v>77</v>
      </c>
      <c r="B78" t="s">
        <v>165</v>
      </c>
      <c r="C78" t="s">
        <v>205</v>
      </c>
      <c r="D78" s="44" t="s">
        <v>246</v>
      </c>
      <c r="E78" s="28" t="str">
        <f t="shared" si="2"/>
        <v xml:space="preserve"> Anas Qudsi@Ex.com</v>
      </c>
    </row>
    <row r="79" spans="1:5" x14ac:dyDescent="0.25">
      <c r="A79">
        <v>78</v>
      </c>
      <c r="B79" t="s">
        <v>166</v>
      </c>
      <c r="C79" t="s">
        <v>206</v>
      </c>
      <c r="D79" s="44" t="s">
        <v>247</v>
      </c>
      <c r="E79" s="28" t="str">
        <f t="shared" si="2"/>
        <v xml:space="preserve"> Amani Lutfi@Ex.com</v>
      </c>
    </row>
    <row r="80" spans="1:5" x14ac:dyDescent="0.25">
      <c r="A80">
        <v>79</v>
      </c>
      <c r="B80" t="s">
        <v>167</v>
      </c>
      <c r="C80" t="s">
        <v>207</v>
      </c>
      <c r="D80" s="44" t="s">
        <v>248</v>
      </c>
      <c r="E80" s="28" t="str">
        <f t="shared" si="2"/>
        <v xml:space="preserve"> Bader Hilal@Ex.com</v>
      </c>
    </row>
    <row r="81" spans="1:5" x14ac:dyDescent="0.25">
      <c r="A81">
        <v>80</v>
      </c>
      <c r="B81" t="s">
        <v>168</v>
      </c>
      <c r="C81" s="33" t="s">
        <v>208</v>
      </c>
      <c r="D81" s="44">
        <v>9661684955.5</v>
      </c>
      <c r="E81" s="28" t="str">
        <f t="shared" si="2"/>
        <v xml:space="preserve"> Farah Issa@Ex.com</v>
      </c>
    </row>
    <row r="82" spans="1:5" x14ac:dyDescent="0.25">
      <c r="A82">
        <v>81</v>
      </c>
      <c r="B82" t="s">
        <v>169</v>
      </c>
      <c r="C82" t="s">
        <v>205</v>
      </c>
      <c r="D82" s="44" t="s">
        <v>249</v>
      </c>
      <c r="E82" s="28" t="str">
        <f t="shared" si="2"/>
        <v xml:space="preserve"> Haytham Rami@Ex.com</v>
      </c>
    </row>
    <row r="83" spans="1:5" x14ac:dyDescent="0.25">
      <c r="A83">
        <v>82</v>
      </c>
      <c r="B83" t="s">
        <v>170</v>
      </c>
      <c r="C83" t="s">
        <v>206</v>
      </c>
      <c r="D83" s="44" t="s">
        <v>246</v>
      </c>
      <c r="E83" s="28" t="str">
        <f t="shared" si="2"/>
        <v xml:space="preserve"> Najlaa Sami@Ex.com</v>
      </c>
    </row>
    <row r="84" spans="1:5" x14ac:dyDescent="0.25">
      <c r="A84">
        <v>83</v>
      </c>
      <c r="B84" t="s">
        <v>171</v>
      </c>
      <c r="C84" t="s">
        <v>207</v>
      </c>
      <c r="D84" s="44" t="s">
        <v>247</v>
      </c>
      <c r="E84" s="28" t="str">
        <f t="shared" si="2"/>
        <v xml:space="preserve"> Marwan Tawfiq@Ex.com</v>
      </c>
    </row>
    <row r="85" spans="1:5" x14ac:dyDescent="0.25">
      <c r="A85">
        <v>84</v>
      </c>
      <c r="B85" t="s">
        <v>172</v>
      </c>
      <c r="C85" s="33" t="s">
        <v>208</v>
      </c>
      <c r="D85" s="44" t="s">
        <v>248</v>
      </c>
      <c r="E85" s="28" t="str">
        <f t="shared" si="2"/>
        <v xml:space="preserve"> Duaa Munir@Ex.com</v>
      </c>
    </row>
    <row r="86" spans="1:5" x14ac:dyDescent="0.25">
      <c r="A86">
        <v>85</v>
      </c>
      <c r="B86" t="s">
        <v>173</v>
      </c>
      <c r="C86" t="s">
        <v>205</v>
      </c>
      <c r="D86" s="44">
        <v>9661684955.5</v>
      </c>
      <c r="E86" s="28" t="str">
        <f t="shared" si="2"/>
        <v xml:space="preserve"> Sulaiman Raad@Ex.com</v>
      </c>
    </row>
    <row r="87" spans="1:5" x14ac:dyDescent="0.25">
      <c r="A87">
        <v>86</v>
      </c>
      <c r="B87" t="s">
        <v>174</v>
      </c>
      <c r="C87" t="s">
        <v>206</v>
      </c>
      <c r="D87" s="44" t="s">
        <v>249</v>
      </c>
      <c r="E87" s="28" t="str">
        <f t="shared" si="2"/>
        <v xml:space="preserve"> Hala Mazin@Ex.com</v>
      </c>
    </row>
    <row r="88" spans="1:5" x14ac:dyDescent="0.25">
      <c r="A88">
        <v>87</v>
      </c>
      <c r="B88" t="s">
        <v>175</v>
      </c>
      <c r="C88" t="s">
        <v>207</v>
      </c>
      <c r="D88" s="44" t="s">
        <v>246</v>
      </c>
      <c r="E88" s="28" t="str">
        <f t="shared" si="2"/>
        <v xml:space="preserve"> Yazan Kareem@Ex.com</v>
      </c>
    </row>
    <row r="89" spans="1:5" x14ac:dyDescent="0.25">
      <c r="A89">
        <v>88</v>
      </c>
      <c r="B89" t="s">
        <v>176</v>
      </c>
      <c r="C89" s="33" t="s">
        <v>208</v>
      </c>
      <c r="D89" s="44" t="s">
        <v>247</v>
      </c>
      <c r="E89" s="28" t="str">
        <f t="shared" si="2"/>
        <v xml:space="preserve"> Sahar Jibril@Ex.com</v>
      </c>
    </row>
    <row r="90" spans="1:5" x14ac:dyDescent="0.25">
      <c r="A90">
        <v>89</v>
      </c>
      <c r="B90" t="s">
        <v>177</v>
      </c>
      <c r="C90" t="s">
        <v>205</v>
      </c>
      <c r="D90" s="44" t="s">
        <v>248</v>
      </c>
      <c r="E90" s="28" t="str">
        <f t="shared" si="2"/>
        <v xml:space="preserve"> Qasem Naji@Ex.com</v>
      </c>
    </row>
    <row r="91" spans="1:5" x14ac:dyDescent="0.25">
      <c r="A91">
        <v>90</v>
      </c>
      <c r="B91" t="s">
        <v>178</v>
      </c>
      <c r="C91" t="s">
        <v>206</v>
      </c>
      <c r="D91" s="44">
        <v>9661684955.5</v>
      </c>
      <c r="E91" s="28" t="str">
        <f t="shared" si="2"/>
        <v xml:space="preserve"> Ilham Zaki@Ex.com</v>
      </c>
    </row>
    <row r="92" spans="1:5" x14ac:dyDescent="0.25">
      <c r="A92">
        <v>91</v>
      </c>
      <c r="B92" t="s">
        <v>179</v>
      </c>
      <c r="C92" t="s">
        <v>207</v>
      </c>
      <c r="D92" s="44" t="s">
        <v>249</v>
      </c>
      <c r="E92" s="28" t="str">
        <f t="shared" si="2"/>
        <v xml:space="preserve"> Abdulilah Faraj@Ex.com</v>
      </c>
    </row>
    <row r="93" spans="1:5" x14ac:dyDescent="0.25">
      <c r="A93">
        <v>92</v>
      </c>
      <c r="B93" t="s">
        <v>180</v>
      </c>
      <c r="C93" s="33" t="s">
        <v>208</v>
      </c>
      <c r="D93" s="44" t="s">
        <v>246</v>
      </c>
      <c r="E93" s="28" t="str">
        <f t="shared" si="2"/>
        <v xml:space="preserve"> Shurooq Adel@Ex.com</v>
      </c>
    </row>
    <row r="94" spans="1:5" x14ac:dyDescent="0.25">
      <c r="A94">
        <v>93</v>
      </c>
      <c r="B94" t="s">
        <v>181</v>
      </c>
      <c r="C94" t="s">
        <v>205</v>
      </c>
      <c r="D94" s="44" t="s">
        <v>247</v>
      </c>
      <c r="E94" s="28" t="str">
        <f t="shared" si="2"/>
        <v xml:space="preserve"> Muneer Sami@Ex.com</v>
      </c>
    </row>
    <row r="95" spans="1:5" x14ac:dyDescent="0.25">
      <c r="A95">
        <v>94</v>
      </c>
      <c r="B95" t="s">
        <v>182</v>
      </c>
      <c r="C95" t="s">
        <v>206</v>
      </c>
      <c r="D95" s="44" t="s">
        <v>248</v>
      </c>
      <c r="E95" s="28" t="str">
        <f t="shared" si="2"/>
        <v xml:space="preserve"> Raghad Samer@Ex.com</v>
      </c>
    </row>
    <row r="96" spans="1:5" x14ac:dyDescent="0.25">
      <c r="A96">
        <v>95</v>
      </c>
      <c r="B96" t="s">
        <v>183</v>
      </c>
      <c r="C96" t="s">
        <v>207</v>
      </c>
      <c r="D96" s="44">
        <v>9661684955.5</v>
      </c>
      <c r="E96" s="28" t="str">
        <f t="shared" si="2"/>
        <v xml:space="preserve"> Nawaf Badr@Ex.com</v>
      </c>
    </row>
    <row r="97" spans="1:5" x14ac:dyDescent="0.25">
      <c r="A97">
        <v>96</v>
      </c>
      <c r="B97" t="s">
        <v>184</v>
      </c>
      <c r="C97" s="33" t="s">
        <v>206</v>
      </c>
      <c r="D97" s="44" t="s">
        <v>249</v>
      </c>
      <c r="E97" s="28" t="str">
        <f t="shared" si="2"/>
        <v xml:space="preserve"> Amal Fouad@Ex.com</v>
      </c>
    </row>
    <row r="98" spans="1:5" x14ac:dyDescent="0.25">
      <c r="A98">
        <v>97</v>
      </c>
      <c r="B98" t="s">
        <v>185</v>
      </c>
      <c r="C98" t="s">
        <v>205</v>
      </c>
      <c r="D98" s="44" t="s">
        <v>246</v>
      </c>
      <c r="E98" s="28" t="str">
        <f t="shared" ref="E98:E129" si="3">B98&amp;"@Ex.com"</f>
        <v xml:space="preserve"> Saeed Kanaan@Ex.com</v>
      </c>
    </row>
    <row r="99" spans="1:5" x14ac:dyDescent="0.25">
      <c r="A99">
        <v>98</v>
      </c>
      <c r="B99" t="s">
        <v>186</v>
      </c>
      <c r="C99" t="s">
        <v>206</v>
      </c>
      <c r="D99" s="44" t="s">
        <v>247</v>
      </c>
      <c r="E99" s="28" t="str">
        <f t="shared" si="3"/>
        <v xml:space="preserve"> Hiba Taleb@Ex.com</v>
      </c>
    </row>
    <row r="100" spans="1:5" x14ac:dyDescent="0.25">
      <c r="A100">
        <v>99</v>
      </c>
      <c r="B100" t="s">
        <v>187</v>
      </c>
      <c r="C100" t="s">
        <v>207</v>
      </c>
      <c r="D100" s="44" t="s">
        <v>248</v>
      </c>
      <c r="E100" s="28" t="str">
        <f t="shared" si="3"/>
        <v xml:space="preserve"> Basel Mustafa@Ex.com</v>
      </c>
    </row>
    <row r="101" spans="1:5" x14ac:dyDescent="0.25">
      <c r="A101">
        <v>100</v>
      </c>
      <c r="B101" t="s">
        <v>188</v>
      </c>
      <c r="C101" s="33" t="s">
        <v>206</v>
      </c>
      <c r="D101" s="44">
        <v>9661684955.5</v>
      </c>
      <c r="E101" s="28" t="str">
        <f t="shared" si="3"/>
        <v xml:space="preserve"> Ikram Yusuf@Ex.com</v>
      </c>
    </row>
    <row r="102" spans="1:5" x14ac:dyDescent="0.25">
      <c r="A102">
        <v>101</v>
      </c>
      <c r="B102" t="s">
        <v>189</v>
      </c>
      <c r="C102" t="s">
        <v>206</v>
      </c>
      <c r="D102" s="44" t="s">
        <v>249</v>
      </c>
      <c r="E102" s="28" t="str">
        <f t="shared" si="3"/>
        <v xml:space="preserve"> Mazen Hatem@Ex.com</v>
      </c>
    </row>
    <row r="103" spans="1:5" x14ac:dyDescent="0.25">
      <c r="A103">
        <v>102</v>
      </c>
      <c r="B103" t="s">
        <v>209</v>
      </c>
      <c r="C103" t="s">
        <v>205</v>
      </c>
      <c r="D103" s="44" t="s">
        <v>246</v>
      </c>
      <c r="E103" s="28" t="str">
        <f t="shared" si="3"/>
        <v>Yousef Mohammed@Ex.com</v>
      </c>
    </row>
    <row r="104" spans="1:5" x14ac:dyDescent="0.25">
      <c r="A104">
        <v>103</v>
      </c>
      <c r="B104" t="s">
        <v>211</v>
      </c>
      <c r="C104" t="s">
        <v>207</v>
      </c>
      <c r="D104" s="44" t="s">
        <v>247</v>
      </c>
      <c r="E104" s="28" t="str">
        <f t="shared" si="3"/>
        <v>Turky Ali@Ex.com</v>
      </c>
    </row>
    <row r="105" spans="1:5" x14ac:dyDescent="0.25">
      <c r="A105">
        <v>104</v>
      </c>
      <c r="B105" t="s">
        <v>212</v>
      </c>
      <c r="C105" s="33" t="s">
        <v>208</v>
      </c>
      <c r="D105" s="44" t="s">
        <v>248</v>
      </c>
      <c r="E105" s="28" t="str">
        <f t="shared" si="3"/>
        <v>Saad Ahmed@Ex.com</v>
      </c>
    </row>
    <row r="106" spans="1:5" x14ac:dyDescent="0.25">
      <c r="A106">
        <v>105</v>
      </c>
      <c r="B106" t="s">
        <v>213</v>
      </c>
      <c r="C106" t="s">
        <v>205</v>
      </c>
      <c r="D106" s="44">
        <v>9661684955.5</v>
      </c>
      <c r="E106" s="28" t="str">
        <f t="shared" si="3"/>
        <v>Sara Mohammed@Ex.com</v>
      </c>
    </row>
    <row r="107" spans="1:5" x14ac:dyDescent="0.25">
      <c r="A107">
        <v>106</v>
      </c>
      <c r="B107" t="s">
        <v>214</v>
      </c>
      <c r="C107" t="s">
        <v>206</v>
      </c>
      <c r="D107" s="44" t="s">
        <v>249</v>
      </c>
      <c r="E107" s="28" t="str">
        <f t="shared" si="3"/>
        <v>Yasser Mfrah@Ex.com</v>
      </c>
    </row>
    <row r="108" spans="1:5" x14ac:dyDescent="0.25">
      <c r="A108">
        <v>107</v>
      </c>
      <c r="B108" t="s">
        <v>215</v>
      </c>
      <c r="C108" t="s">
        <v>207</v>
      </c>
      <c r="D108" s="44" t="s">
        <v>246</v>
      </c>
      <c r="E108" s="28" t="str">
        <f t="shared" si="3"/>
        <v>Khaild Yousef@Ex.com</v>
      </c>
    </row>
    <row r="109" spans="1:5" x14ac:dyDescent="0.25">
      <c r="A109">
        <v>108</v>
      </c>
      <c r="B109" t="s">
        <v>216</v>
      </c>
      <c r="C109" s="33" t="s">
        <v>208</v>
      </c>
      <c r="D109" s="44" t="s">
        <v>247</v>
      </c>
      <c r="E109" s="28" t="str">
        <f t="shared" si="3"/>
        <v>Ahmed Ali@Ex.com</v>
      </c>
    </row>
    <row r="110" spans="1:5" x14ac:dyDescent="0.25">
      <c r="A110">
        <v>109</v>
      </c>
      <c r="B110" t="s">
        <v>217</v>
      </c>
      <c r="C110" t="s">
        <v>205</v>
      </c>
      <c r="D110" s="44" t="s">
        <v>248</v>
      </c>
      <c r="E110" s="28" t="str">
        <f t="shared" si="3"/>
        <v>Ali Saud@Ex.com</v>
      </c>
    </row>
    <row r="111" spans="1:5" x14ac:dyDescent="0.25">
      <c r="A111">
        <v>110</v>
      </c>
      <c r="B111" t="s">
        <v>218</v>
      </c>
      <c r="C111" t="s">
        <v>206</v>
      </c>
      <c r="D111" s="44">
        <v>9661684955.5</v>
      </c>
      <c r="E111" s="28" t="str">
        <f t="shared" si="3"/>
        <v>Mona Mnasor@Ex.com</v>
      </c>
    </row>
    <row r="112" spans="1:5" x14ac:dyDescent="0.25">
      <c r="A112">
        <v>111</v>
      </c>
      <c r="B112" t="s">
        <v>219</v>
      </c>
      <c r="C112" t="s">
        <v>207</v>
      </c>
      <c r="D112" s="44" t="s">
        <v>249</v>
      </c>
      <c r="E112" s="28" t="str">
        <f t="shared" si="3"/>
        <v>Jahed Eid@Ex.com</v>
      </c>
    </row>
    <row r="113" spans="1:5" x14ac:dyDescent="0.25">
      <c r="A113">
        <v>112</v>
      </c>
      <c r="B113" t="s">
        <v>220</v>
      </c>
      <c r="C113" s="33" t="s">
        <v>208</v>
      </c>
      <c r="D113" s="44" t="s">
        <v>246</v>
      </c>
      <c r="E113" s="28" t="str">
        <f t="shared" si="3"/>
        <v>Rayan Abdullah@Ex.com</v>
      </c>
    </row>
    <row r="114" spans="1:5" x14ac:dyDescent="0.25">
      <c r="A114">
        <v>113</v>
      </c>
      <c r="B114" t="s">
        <v>221</v>
      </c>
      <c r="C114" t="s">
        <v>205</v>
      </c>
      <c r="D114" s="44" t="s">
        <v>247</v>
      </c>
      <c r="E114" s="28" t="str">
        <f t="shared" si="3"/>
        <v>Majed Naser@Ex.com</v>
      </c>
    </row>
    <row r="115" spans="1:5" x14ac:dyDescent="0.25">
      <c r="A115">
        <v>114</v>
      </c>
      <c r="B115" t="s">
        <v>222</v>
      </c>
      <c r="C115" t="s">
        <v>206</v>
      </c>
      <c r="D115" s="44" t="s">
        <v>248</v>
      </c>
      <c r="E115" s="28" t="str">
        <f t="shared" si="3"/>
        <v>Soha Yousef@Ex.com</v>
      </c>
    </row>
    <row r="116" spans="1:5" x14ac:dyDescent="0.25">
      <c r="A116">
        <v>115</v>
      </c>
      <c r="B116" t="s">
        <v>223</v>
      </c>
      <c r="C116" t="s">
        <v>207</v>
      </c>
      <c r="D116" s="44">
        <v>9661684955.5</v>
      </c>
      <c r="E116" s="28" t="str">
        <f t="shared" si="3"/>
        <v>Nada Ali@Ex.com</v>
      </c>
    </row>
    <row r="117" spans="1:5" x14ac:dyDescent="0.25">
      <c r="A117">
        <v>116</v>
      </c>
      <c r="B117" t="s">
        <v>224</v>
      </c>
      <c r="C117" s="33" t="s">
        <v>208</v>
      </c>
      <c r="D117" s="44" t="s">
        <v>249</v>
      </c>
      <c r="E117" s="28" t="str">
        <f t="shared" si="3"/>
        <v>Omer Abdulaziz@Ex.com</v>
      </c>
    </row>
    <row r="118" spans="1:5" x14ac:dyDescent="0.25">
      <c r="A118">
        <v>117</v>
      </c>
      <c r="B118" t="s">
        <v>225</v>
      </c>
      <c r="C118" t="s">
        <v>205</v>
      </c>
      <c r="D118" s="44" t="s">
        <v>246</v>
      </c>
      <c r="E118" s="28" t="str">
        <f t="shared" si="3"/>
        <v>Mona Sari@Ex.com</v>
      </c>
    </row>
    <row r="119" spans="1:5" x14ac:dyDescent="0.25">
      <c r="A119">
        <v>118</v>
      </c>
      <c r="B119" t="s">
        <v>226</v>
      </c>
      <c r="C119" t="s">
        <v>206</v>
      </c>
      <c r="D119" s="44" t="s">
        <v>247</v>
      </c>
      <c r="E119" s="28" t="str">
        <f t="shared" si="3"/>
        <v>Othman Khalid@Ex.com</v>
      </c>
    </row>
    <row r="120" spans="1:5" x14ac:dyDescent="0.25">
      <c r="A120">
        <v>119</v>
      </c>
      <c r="B120" t="s">
        <v>227</v>
      </c>
      <c r="C120" t="s">
        <v>207</v>
      </c>
      <c r="D120" s="44" t="s">
        <v>248</v>
      </c>
      <c r="E120" s="28" t="str">
        <f t="shared" si="3"/>
        <v>Ahmed Ismail@Ex.com</v>
      </c>
    </row>
    <row r="121" spans="1:5" x14ac:dyDescent="0.25">
      <c r="A121">
        <v>120</v>
      </c>
      <c r="B121" t="s">
        <v>228</v>
      </c>
      <c r="C121" s="33" t="s">
        <v>208</v>
      </c>
      <c r="D121" s="44">
        <v>9661684955.5</v>
      </c>
      <c r="E121" s="28" t="str">
        <f t="shared" si="3"/>
        <v>Yara Mohammed@Ex.com</v>
      </c>
    </row>
    <row r="122" spans="1:5" x14ac:dyDescent="0.25">
      <c r="A122">
        <v>121</v>
      </c>
      <c r="B122" t="s">
        <v>229</v>
      </c>
      <c r="C122" t="s">
        <v>205</v>
      </c>
      <c r="D122" s="44" t="s">
        <v>249</v>
      </c>
      <c r="E122" s="28" t="str">
        <f t="shared" si="3"/>
        <v>Norah Abdullah@Ex.com</v>
      </c>
    </row>
    <row r="123" spans="1:5" x14ac:dyDescent="0.25">
      <c r="A123">
        <v>122</v>
      </c>
      <c r="B123" t="s">
        <v>230</v>
      </c>
      <c r="C123" t="s">
        <v>206</v>
      </c>
      <c r="D123" s="44" t="s">
        <v>246</v>
      </c>
      <c r="E123" t="str">
        <f t="shared" si="3"/>
        <v>Ndeem Ali@Ex.com</v>
      </c>
    </row>
    <row r="124" spans="1:5" x14ac:dyDescent="0.25">
      <c r="A124">
        <v>123</v>
      </c>
      <c r="B124" t="s">
        <v>231</v>
      </c>
      <c r="C124" t="s">
        <v>207</v>
      </c>
      <c r="D124" s="44" t="s">
        <v>247</v>
      </c>
      <c r="E124" t="str">
        <f t="shared" si="3"/>
        <v>Sara Abdullah@Ex.com</v>
      </c>
    </row>
    <row r="125" spans="1:5" x14ac:dyDescent="0.25">
      <c r="A125">
        <v>124</v>
      </c>
      <c r="B125" t="s">
        <v>232</v>
      </c>
      <c r="C125" s="33" t="s">
        <v>208</v>
      </c>
      <c r="D125" s="44" t="s">
        <v>248</v>
      </c>
      <c r="E125" t="str">
        <f t="shared" si="3"/>
        <v>Omer Ahmed@Ex.com</v>
      </c>
    </row>
    <row r="126" spans="1:5" x14ac:dyDescent="0.25">
      <c r="A126">
        <v>125</v>
      </c>
      <c r="B126" t="s">
        <v>233</v>
      </c>
      <c r="C126" t="s">
        <v>205</v>
      </c>
      <c r="D126" s="44">
        <v>9661684955.5</v>
      </c>
      <c r="E126" s="28" t="str">
        <f t="shared" si="3"/>
        <v>Waled Ibrahem@Ex.com</v>
      </c>
    </row>
    <row r="127" spans="1:5" x14ac:dyDescent="0.25">
      <c r="A127">
        <v>126</v>
      </c>
      <c r="B127" t="s">
        <v>234</v>
      </c>
      <c r="C127" t="s">
        <v>206</v>
      </c>
      <c r="D127" s="44" t="s">
        <v>249</v>
      </c>
      <c r="E127" s="28" t="str">
        <f t="shared" si="3"/>
        <v>Khalid Naseer@Ex.com</v>
      </c>
    </row>
    <row r="128" spans="1:5" x14ac:dyDescent="0.25">
      <c r="A128">
        <v>127</v>
      </c>
      <c r="B128" t="s">
        <v>235</v>
      </c>
      <c r="C128" t="s">
        <v>207</v>
      </c>
      <c r="D128" s="44" t="s">
        <v>246</v>
      </c>
      <c r="E128" s="28" t="str">
        <f t="shared" si="3"/>
        <v>Mnerh Ahmed@Ex.com</v>
      </c>
    </row>
    <row r="129" spans="1:5" x14ac:dyDescent="0.25">
      <c r="A129">
        <v>128</v>
      </c>
      <c r="B129" t="s">
        <v>236</v>
      </c>
      <c r="C129" s="33" t="s">
        <v>208</v>
      </c>
      <c r="D129" s="44" t="s">
        <v>247</v>
      </c>
      <c r="E129" t="str">
        <f t="shared" si="3"/>
        <v>Dalal Turky@Ex.com</v>
      </c>
    </row>
    <row r="130" spans="1:5" x14ac:dyDescent="0.25">
      <c r="A130">
        <v>129</v>
      </c>
      <c r="B130" t="s">
        <v>237</v>
      </c>
      <c r="C130" t="s">
        <v>205</v>
      </c>
      <c r="D130" s="44" t="s">
        <v>248</v>
      </c>
      <c r="E130" s="28" t="str">
        <f t="shared" ref="E130:E150" si="4">B130&amp;"@Ex.com"</f>
        <v>Mohammed abdullaziz@Ex.com</v>
      </c>
    </row>
    <row r="131" spans="1:5" x14ac:dyDescent="0.25">
      <c r="A131">
        <v>130</v>
      </c>
      <c r="B131" t="s">
        <v>238</v>
      </c>
      <c r="C131" t="s">
        <v>206</v>
      </c>
      <c r="D131" s="44">
        <v>9661684955.5</v>
      </c>
      <c r="E131" s="28" t="str">
        <f t="shared" si="4"/>
        <v>Yousef Ali@Ex.com</v>
      </c>
    </row>
    <row r="132" spans="1:5" x14ac:dyDescent="0.25">
      <c r="A132">
        <v>131</v>
      </c>
      <c r="B132" t="s">
        <v>237</v>
      </c>
      <c r="C132" t="s">
        <v>207</v>
      </c>
      <c r="D132" s="44" t="s">
        <v>249</v>
      </c>
      <c r="E132" s="28" t="str">
        <f t="shared" si="4"/>
        <v>Mohammed abdullaziz@Ex.com</v>
      </c>
    </row>
    <row r="133" spans="1:5" x14ac:dyDescent="0.25">
      <c r="A133">
        <v>132</v>
      </c>
      <c r="B133" t="s">
        <v>231</v>
      </c>
      <c r="C133" s="33" t="s">
        <v>208</v>
      </c>
      <c r="D133" s="44" t="s">
        <v>246</v>
      </c>
      <c r="E133" s="28" t="str">
        <f t="shared" si="4"/>
        <v>Sara Abdullah@Ex.com</v>
      </c>
    </row>
    <row r="134" spans="1:5" x14ac:dyDescent="0.25">
      <c r="A134">
        <v>133</v>
      </c>
      <c r="B134" t="s">
        <v>239</v>
      </c>
      <c r="C134" t="s">
        <v>205</v>
      </c>
      <c r="D134" s="44" t="s">
        <v>247</v>
      </c>
      <c r="E134" s="28" t="str">
        <f t="shared" si="4"/>
        <v>Omer Salman@Ex.com</v>
      </c>
    </row>
    <row r="135" spans="1:5" x14ac:dyDescent="0.25">
      <c r="A135">
        <v>134</v>
      </c>
      <c r="B135" t="s">
        <v>240</v>
      </c>
      <c r="C135" t="s">
        <v>206</v>
      </c>
      <c r="D135" s="44" t="s">
        <v>248</v>
      </c>
      <c r="E135" s="28" t="str">
        <f t="shared" si="4"/>
        <v>Sleam Eid@Ex.com</v>
      </c>
    </row>
    <row r="136" spans="1:5" x14ac:dyDescent="0.25">
      <c r="A136">
        <v>135</v>
      </c>
      <c r="B136" t="s">
        <v>241</v>
      </c>
      <c r="C136" t="s">
        <v>207</v>
      </c>
      <c r="D136" s="44">
        <v>9661684955.5</v>
      </c>
      <c r="E136" s="28" t="str">
        <f t="shared" si="4"/>
        <v>Sari Majhed@Ex.com</v>
      </c>
    </row>
    <row r="137" spans="1:5" x14ac:dyDescent="0.25">
      <c r="A137">
        <v>136</v>
      </c>
      <c r="B137" t="s">
        <v>217</v>
      </c>
      <c r="C137" s="33" t="s">
        <v>208</v>
      </c>
      <c r="D137" s="44" t="s">
        <v>249</v>
      </c>
      <c r="E137" s="28" t="str">
        <f t="shared" si="4"/>
        <v>Ali Saud@Ex.com</v>
      </c>
    </row>
    <row r="138" spans="1:5" x14ac:dyDescent="0.25">
      <c r="A138">
        <v>137</v>
      </c>
      <c r="B138" t="s">
        <v>242</v>
      </c>
      <c r="C138" t="s">
        <v>205</v>
      </c>
      <c r="D138" s="44" t="s">
        <v>246</v>
      </c>
      <c r="E138" s="28" t="str">
        <f t="shared" si="4"/>
        <v>Ali Ahmed @Ex.com</v>
      </c>
    </row>
    <row r="139" spans="1:5" x14ac:dyDescent="0.25">
      <c r="A139">
        <v>138</v>
      </c>
      <c r="B139" t="s">
        <v>243</v>
      </c>
      <c r="C139" t="s">
        <v>206</v>
      </c>
      <c r="D139" s="44" t="s">
        <v>247</v>
      </c>
      <c r="E139" s="28" t="str">
        <f t="shared" si="4"/>
        <v>Norah Mohammed@Ex.com</v>
      </c>
    </row>
    <row r="140" spans="1:5" x14ac:dyDescent="0.25">
      <c r="A140">
        <v>139</v>
      </c>
      <c r="B140" t="s">
        <v>244</v>
      </c>
      <c r="C140" t="s">
        <v>207</v>
      </c>
      <c r="D140" s="44" t="s">
        <v>248</v>
      </c>
      <c r="E140" s="28" t="str">
        <f t="shared" si="4"/>
        <v>Razan Yousef@Ex.com</v>
      </c>
    </row>
    <row r="141" spans="1:5" x14ac:dyDescent="0.25">
      <c r="A141">
        <v>140</v>
      </c>
      <c r="B141" t="s">
        <v>263</v>
      </c>
      <c r="C141" s="33" t="s">
        <v>208</v>
      </c>
      <c r="D141" s="44">
        <v>9661684955.5</v>
      </c>
      <c r="E141" s="28" t="str">
        <f t="shared" si="4"/>
        <v>Arwa ahmed@Ex.com</v>
      </c>
    </row>
    <row r="142" spans="1:5" x14ac:dyDescent="0.25">
      <c r="A142">
        <v>141</v>
      </c>
      <c r="B142" t="s">
        <v>245</v>
      </c>
      <c r="C142" t="s">
        <v>205</v>
      </c>
      <c r="D142" s="44" t="s">
        <v>249</v>
      </c>
      <c r="E142" s="28" t="str">
        <f t="shared" si="4"/>
        <v>Manaf Ahmed@Ex.com</v>
      </c>
    </row>
    <row r="143" spans="1:5" x14ac:dyDescent="0.25">
      <c r="A143">
        <v>142</v>
      </c>
      <c r="B143" t="s">
        <v>250</v>
      </c>
      <c r="C143" t="s">
        <v>206</v>
      </c>
      <c r="D143" s="44" t="s">
        <v>246</v>
      </c>
      <c r="E143" s="28" t="str">
        <f t="shared" si="4"/>
        <v>Yasser Fasial@Ex.com</v>
      </c>
    </row>
    <row r="144" spans="1:5" x14ac:dyDescent="0.25">
      <c r="A144">
        <v>143</v>
      </c>
      <c r="B144" t="s">
        <v>251</v>
      </c>
      <c r="C144" t="s">
        <v>207</v>
      </c>
      <c r="D144" s="44" t="s">
        <v>247</v>
      </c>
      <c r="E144" s="28" t="str">
        <f t="shared" si="4"/>
        <v>Bader Majed@Ex.com</v>
      </c>
    </row>
    <row r="145" spans="1:5" x14ac:dyDescent="0.25">
      <c r="A145">
        <v>144</v>
      </c>
      <c r="B145" t="s">
        <v>252</v>
      </c>
      <c r="C145" s="33" t="s">
        <v>208</v>
      </c>
      <c r="D145" s="44" t="s">
        <v>248</v>
      </c>
      <c r="E145" s="28" t="str">
        <f t="shared" si="4"/>
        <v>Hamdan Abdullah@Ex.com</v>
      </c>
    </row>
    <row r="146" spans="1:5" x14ac:dyDescent="0.25">
      <c r="A146">
        <v>145</v>
      </c>
      <c r="B146" t="s">
        <v>253</v>
      </c>
      <c r="C146" t="s">
        <v>205</v>
      </c>
      <c r="D146" s="44">
        <v>9661684955.5</v>
      </c>
      <c r="E146" s="28" t="str">
        <f t="shared" si="4"/>
        <v>Abdullalkrem Saud@Ex.com</v>
      </c>
    </row>
    <row r="147" spans="1:5" x14ac:dyDescent="0.25">
      <c r="A147">
        <v>146</v>
      </c>
      <c r="B147" t="s">
        <v>254</v>
      </c>
      <c r="C147" t="s">
        <v>206</v>
      </c>
      <c r="D147" s="44" t="s">
        <v>249</v>
      </c>
      <c r="E147" s="28" t="str">
        <f t="shared" si="4"/>
        <v>Mohamed Fahad@Ex.com</v>
      </c>
    </row>
    <row r="148" spans="1:5" x14ac:dyDescent="0.25">
      <c r="A148">
        <v>147</v>
      </c>
      <c r="B148" t="s">
        <v>255</v>
      </c>
      <c r="C148" t="s">
        <v>207</v>
      </c>
      <c r="D148" s="44" t="s">
        <v>246</v>
      </c>
      <c r="E148" s="28" t="str">
        <f>B148&amp;"@Ex.com"</f>
        <v>Shahd Abdullah@Ex.com</v>
      </c>
    </row>
    <row r="149" spans="1:5" x14ac:dyDescent="0.25">
      <c r="A149">
        <v>148</v>
      </c>
      <c r="B149" t="s">
        <v>256</v>
      </c>
      <c r="C149" s="33" t="s">
        <v>208</v>
      </c>
      <c r="D149" s="44" t="s">
        <v>247</v>
      </c>
      <c r="E149" s="28" t="str">
        <f t="shared" si="4"/>
        <v>Reem Faisal@Ex.com</v>
      </c>
    </row>
    <row r="150" spans="1:5" x14ac:dyDescent="0.25">
      <c r="A150">
        <v>149</v>
      </c>
      <c r="B150" t="s">
        <v>257</v>
      </c>
      <c r="C150" t="s">
        <v>205</v>
      </c>
      <c r="D150" s="44" t="s">
        <v>248</v>
      </c>
      <c r="E150" s="28" t="str">
        <f t="shared" si="4"/>
        <v>Abdulaziz Sultan@Ex.com</v>
      </c>
    </row>
    <row r="151" spans="1:5" x14ac:dyDescent="0.25">
      <c r="A151">
        <v>150</v>
      </c>
      <c r="B151" t="s">
        <v>258</v>
      </c>
      <c r="C151" t="s">
        <v>206</v>
      </c>
      <c r="D151" s="44">
        <v>9661684955.5</v>
      </c>
      <c r="E151" s="28" t="str">
        <f>B151&amp;"@Ex.com"</f>
        <v>Omar Rashid@Ex.com</v>
      </c>
    </row>
    <row r="152" spans="1:5" ht="21.75" customHeight="1" x14ac:dyDescent="0.25"/>
  </sheetData>
  <conditionalFormatting sqref="A1:A1048576">
    <cfRule type="duplicateValues" dxfId="5" priority="1"/>
  </conditionalFormatting>
  <pageMargins left="0.7" right="0.7" top="0.75" bottom="0.75" header="0.3" footer="0.3"/>
  <ignoredErrors>
    <ignoredError sqref="D2 D3:D28 D29:D60 D62:D151" numberStoredAsText="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4AEBF-C71B-41BA-AD0E-A05710D57675}">
  <sheetPr codeName="Sheet2"/>
  <dimension ref="A1:E50"/>
  <sheetViews>
    <sheetView workbookViewId="0">
      <selection activeCell="F12" sqref="F12"/>
    </sheetView>
  </sheetViews>
  <sheetFormatPr defaultRowHeight="15" x14ac:dyDescent="0.25"/>
  <cols>
    <col min="1" max="1" width="17.5703125" style="24" customWidth="1"/>
    <col min="2" max="2" width="60.5703125" style="1" customWidth="1"/>
    <col min="3" max="3" width="20.140625" style="1" customWidth="1"/>
    <col min="4" max="4" width="30.42578125" customWidth="1"/>
    <col min="5" max="5" width="43.5703125" style="1" customWidth="1"/>
    <col min="6" max="7" width="43.5703125" customWidth="1"/>
    <col min="8" max="8" width="16.5703125" customWidth="1"/>
    <col min="9" max="9" width="9.140625" customWidth="1"/>
  </cols>
  <sheetData>
    <row r="1" spans="1:5" ht="30" customHeight="1" thickTop="1" thickBot="1" x14ac:dyDescent="0.3">
      <c r="A1" s="29" t="s">
        <v>282</v>
      </c>
      <c r="B1" s="29" t="s">
        <v>203</v>
      </c>
      <c r="C1" s="30" t="s">
        <v>25</v>
      </c>
      <c r="D1" s="31" t="s">
        <v>52</v>
      </c>
      <c r="E1" s="32" t="s">
        <v>1</v>
      </c>
    </row>
    <row r="2" spans="1:5" ht="16.5" thickTop="1" thickBot="1" x14ac:dyDescent="0.3">
      <c r="A2" s="26">
        <v>100</v>
      </c>
      <c r="B2" s="9" t="s">
        <v>46</v>
      </c>
      <c r="C2" s="10" t="s">
        <v>72</v>
      </c>
      <c r="D2" s="8" t="s">
        <v>53</v>
      </c>
      <c r="E2" s="27">
        <v>1000</v>
      </c>
    </row>
    <row r="3" spans="1:5" ht="16.5" thickTop="1" thickBot="1" x14ac:dyDescent="0.3">
      <c r="A3" s="26">
        <v>101</v>
      </c>
      <c r="B3" s="9" t="s">
        <v>47</v>
      </c>
      <c r="C3" s="11" t="s">
        <v>73</v>
      </c>
      <c r="D3" s="8" t="s">
        <v>53</v>
      </c>
      <c r="E3" s="27">
        <v>1400</v>
      </c>
    </row>
    <row r="4" spans="1:5" ht="16.5" thickTop="1" thickBot="1" x14ac:dyDescent="0.3">
      <c r="A4" s="26">
        <v>102</v>
      </c>
      <c r="B4" s="9" t="s">
        <v>48</v>
      </c>
      <c r="C4" s="11" t="s">
        <v>74</v>
      </c>
      <c r="D4" s="12" t="s">
        <v>53</v>
      </c>
      <c r="E4" s="27">
        <v>1800</v>
      </c>
    </row>
    <row r="5" spans="1:5" ht="16.5" thickTop="1" thickBot="1" x14ac:dyDescent="0.3">
      <c r="A5" s="26">
        <v>103</v>
      </c>
      <c r="B5" s="9" t="s">
        <v>192</v>
      </c>
      <c r="C5" s="11" t="s">
        <v>76</v>
      </c>
      <c r="D5" s="8" t="s">
        <v>2</v>
      </c>
      <c r="E5" s="27">
        <v>280</v>
      </c>
    </row>
    <row r="6" spans="1:5" ht="16.5" thickTop="1" thickBot="1" x14ac:dyDescent="0.3">
      <c r="A6" s="26">
        <v>104</v>
      </c>
      <c r="B6" s="9" t="s">
        <v>7</v>
      </c>
      <c r="C6" s="10" t="s">
        <v>88</v>
      </c>
      <c r="D6" s="13" t="s">
        <v>2</v>
      </c>
      <c r="E6" s="27">
        <v>500</v>
      </c>
    </row>
    <row r="7" spans="1:5" ht="16.5" thickTop="1" thickBot="1" x14ac:dyDescent="0.3">
      <c r="A7" s="26">
        <v>105</v>
      </c>
      <c r="B7" s="9" t="s">
        <v>64</v>
      </c>
      <c r="C7" s="10" t="s">
        <v>73</v>
      </c>
      <c r="D7" s="14" t="s">
        <v>53</v>
      </c>
      <c r="E7" s="27">
        <v>700</v>
      </c>
    </row>
    <row r="8" spans="1:5" ht="16.5" thickTop="1" thickBot="1" x14ac:dyDescent="0.3">
      <c r="A8" s="26">
        <v>106</v>
      </c>
      <c r="B8" s="9" t="s">
        <v>8</v>
      </c>
      <c r="C8" s="15" t="s">
        <v>75</v>
      </c>
      <c r="D8" s="8" t="s">
        <v>3</v>
      </c>
      <c r="E8" s="27">
        <v>800</v>
      </c>
    </row>
    <row r="9" spans="1:5" ht="16.5" thickTop="1" thickBot="1" x14ac:dyDescent="0.3">
      <c r="A9" s="26">
        <v>107</v>
      </c>
      <c r="B9" s="9" t="s">
        <v>191</v>
      </c>
      <c r="C9" s="10" t="s">
        <v>54</v>
      </c>
      <c r="D9" s="8" t="s">
        <v>3</v>
      </c>
      <c r="E9" s="27">
        <v>250</v>
      </c>
    </row>
    <row r="10" spans="1:5" ht="16.5" thickTop="1" thickBot="1" x14ac:dyDescent="0.3">
      <c r="A10" s="26">
        <v>108</v>
      </c>
      <c r="B10" s="9" t="s">
        <v>193</v>
      </c>
      <c r="C10" s="10" t="s">
        <v>54</v>
      </c>
      <c r="D10" s="13" t="s">
        <v>3</v>
      </c>
      <c r="E10" s="27">
        <v>400</v>
      </c>
    </row>
    <row r="11" spans="1:5" ht="16.5" thickTop="1" thickBot="1" x14ac:dyDescent="0.3">
      <c r="A11" s="26">
        <v>109</v>
      </c>
      <c r="B11" s="9" t="s">
        <v>10</v>
      </c>
      <c r="C11" s="10" t="s">
        <v>10</v>
      </c>
      <c r="D11" s="14" t="s">
        <v>67</v>
      </c>
      <c r="E11" s="27">
        <v>1600</v>
      </c>
    </row>
    <row r="12" spans="1:5" ht="16.5" thickTop="1" thickBot="1" x14ac:dyDescent="0.3">
      <c r="A12" s="26">
        <v>110</v>
      </c>
      <c r="B12" s="9" t="s">
        <v>13</v>
      </c>
      <c r="C12" s="15" t="s">
        <v>55</v>
      </c>
      <c r="D12" s="8" t="s">
        <v>68</v>
      </c>
      <c r="E12" s="27">
        <v>1200</v>
      </c>
    </row>
    <row r="13" spans="1:5" ht="16.5" thickTop="1" thickBot="1" x14ac:dyDescent="0.3">
      <c r="A13" s="26">
        <v>111</v>
      </c>
      <c r="B13" s="9" t="s">
        <v>11</v>
      </c>
      <c r="C13" s="10" t="s">
        <v>55</v>
      </c>
      <c r="D13" s="8" t="s">
        <v>68</v>
      </c>
      <c r="E13" s="27">
        <v>400</v>
      </c>
    </row>
    <row r="14" spans="1:5" ht="16.5" thickTop="1" thickBot="1" x14ac:dyDescent="0.3">
      <c r="A14" s="26">
        <v>112</v>
      </c>
      <c r="B14" s="9" t="s">
        <v>12</v>
      </c>
      <c r="C14" s="15" t="s">
        <v>56</v>
      </c>
      <c r="D14" s="8" t="s">
        <v>68</v>
      </c>
      <c r="E14" s="27">
        <v>650</v>
      </c>
    </row>
    <row r="15" spans="1:5" ht="16.5" thickTop="1" thickBot="1" x14ac:dyDescent="0.3">
      <c r="A15" s="26">
        <v>113</v>
      </c>
      <c r="B15" s="9" t="s">
        <v>14</v>
      </c>
      <c r="C15" s="16" t="s">
        <v>57</v>
      </c>
      <c r="D15" s="12" t="s">
        <v>68</v>
      </c>
      <c r="E15" s="27">
        <v>800</v>
      </c>
    </row>
    <row r="16" spans="1:5" ht="16.5" thickTop="1" thickBot="1" x14ac:dyDescent="0.3">
      <c r="A16" s="26">
        <v>114</v>
      </c>
      <c r="B16" s="9" t="s">
        <v>15</v>
      </c>
      <c r="C16" s="11" t="s">
        <v>58</v>
      </c>
      <c r="D16" s="8" t="s">
        <v>65</v>
      </c>
      <c r="E16" s="27">
        <v>1800</v>
      </c>
    </row>
    <row r="17" spans="1:5" ht="16.5" thickTop="1" thickBot="1" x14ac:dyDescent="0.3">
      <c r="A17" s="26">
        <v>115</v>
      </c>
      <c r="B17" s="9" t="s">
        <v>16</v>
      </c>
      <c r="C17" s="16" t="s">
        <v>59</v>
      </c>
      <c r="D17" s="8" t="s">
        <v>65</v>
      </c>
      <c r="E17" s="27">
        <v>3000</v>
      </c>
    </row>
    <row r="18" spans="1:5" ht="16.5" thickTop="1" thickBot="1" x14ac:dyDescent="0.3">
      <c r="A18" s="26">
        <v>116</v>
      </c>
      <c r="B18" s="9" t="s">
        <v>29</v>
      </c>
      <c r="C18" s="10" t="s">
        <v>60</v>
      </c>
      <c r="D18" s="8" t="s">
        <v>65</v>
      </c>
      <c r="E18" s="27">
        <v>2002</v>
      </c>
    </row>
    <row r="19" spans="1:5" ht="16.5" thickTop="1" thickBot="1" x14ac:dyDescent="0.3">
      <c r="A19" s="26">
        <v>117</v>
      </c>
      <c r="B19" s="9" t="s">
        <v>17</v>
      </c>
      <c r="C19" s="15" t="s">
        <v>61</v>
      </c>
      <c r="D19" s="13" t="s">
        <v>65</v>
      </c>
      <c r="E19" s="27">
        <v>900</v>
      </c>
    </row>
    <row r="20" spans="1:5" ht="16.5" thickTop="1" thickBot="1" x14ac:dyDescent="0.3">
      <c r="A20" s="26">
        <v>118</v>
      </c>
      <c r="B20" s="9" t="s">
        <v>18</v>
      </c>
      <c r="C20" s="17" t="s">
        <v>62</v>
      </c>
      <c r="D20" s="8" t="s">
        <v>66</v>
      </c>
      <c r="E20" s="27">
        <v>1000</v>
      </c>
    </row>
    <row r="21" spans="1:5" ht="16.5" thickTop="1" thickBot="1" x14ac:dyDescent="0.3">
      <c r="A21" s="26">
        <v>119</v>
      </c>
      <c r="B21" s="9" t="s">
        <v>22</v>
      </c>
      <c r="C21" s="10" t="s">
        <v>62</v>
      </c>
      <c r="D21" s="8" t="s">
        <v>66</v>
      </c>
      <c r="E21" s="27">
        <v>1400</v>
      </c>
    </row>
    <row r="22" spans="1:5" ht="16.5" thickTop="1" thickBot="1" x14ac:dyDescent="0.3">
      <c r="A22" s="26">
        <v>120</v>
      </c>
      <c r="B22" s="9" t="s">
        <v>23</v>
      </c>
      <c r="C22" s="15" t="s">
        <v>62</v>
      </c>
      <c r="D22" s="8" t="s">
        <v>66</v>
      </c>
      <c r="E22" s="27">
        <v>2000</v>
      </c>
    </row>
    <row r="23" spans="1:5" ht="16.5" thickTop="1" thickBot="1" x14ac:dyDescent="0.3">
      <c r="A23" s="26">
        <v>121</v>
      </c>
      <c r="B23" s="9" t="s">
        <v>19</v>
      </c>
      <c r="C23" s="18" t="s">
        <v>62</v>
      </c>
      <c r="D23" s="8" t="s">
        <v>66</v>
      </c>
      <c r="E23" s="27">
        <v>1500</v>
      </c>
    </row>
    <row r="24" spans="1:5" ht="16.5" thickTop="1" thickBot="1" x14ac:dyDescent="0.3">
      <c r="A24" s="26">
        <v>122</v>
      </c>
      <c r="B24" s="9" t="s">
        <v>20</v>
      </c>
      <c r="C24" s="10" t="s">
        <v>63</v>
      </c>
      <c r="D24" s="8" t="s">
        <v>66</v>
      </c>
      <c r="E24" s="27">
        <v>1000</v>
      </c>
    </row>
    <row r="25" spans="1:5" ht="16.5" thickTop="1" thickBot="1" x14ac:dyDescent="0.3">
      <c r="A25" s="26">
        <v>123</v>
      </c>
      <c r="B25" s="9" t="s">
        <v>21</v>
      </c>
      <c r="C25" s="10" t="s">
        <v>63</v>
      </c>
      <c r="D25" s="8" t="s">
        <v>66</v>
      </c>
      <c r="E25" s="27">
        <v>1800</v>
      </c>
    </row>
    <row r="26" spans="1:5" ht="16.5" thickTop="1" thickBot="1" x14ac:dyDescent="0.3">
      <c r="A26" s="26">
        <v>124</v>
      </c>
      <c r="B26" s="9" t="s">
        <v>24</v>
      </c>
      <c r="C26" s="15" t="s">
        <v>63</v>
      </c>
      <c r="D26" s="13" t="s">
        <v>66</v>
      </c>
      <c r="E26" s="27">
        <v>3300</v>
      </c>
    </row>
    <row r="27" spans="1:5" ht="16.5" thickTop="1" thickBot="1" x14ac:dyDescent="0.3">
      <c r="A27" s="26">
        <v>125</v>
      </c>
      <c r="B27" s="9" t="s">
        <v>9</v>
      </c>
      <c r="C27" s="17" t="s">
        <v>54</v>
      </c>
      <c r="D27" s="14" t="s">
        <v>3</v>
      </c>
      <c r="E27" s="27">
        <v>300</v>
      </c>
    </row>
    <row r="28" spans="1:5" ht="16.5" thickTop="1" thickBot="1" x14ac:dyDescent="0.3">
      <c r="A28" s="26">
        <v>126</v>
      </c>
      <c r="B28" s="9" t="s">
        <v>26</v>
      </c>
      <c r="C28" s="17" t="s">
        <v>76</v>
      </c>
      <c r="D28" s="14" t="s">
        <v>2</v>
      </c>
      <c r="E28" s="27">
        <v>280</v>
      </c>
    </row>
    <row r="29" spans="1:5" ht="16.5" thickTop="1" thickBot="1" x14ac:dyDescent="0.3">
      <c r="A29" s="26">
        <v>127</v>
      </c>
      <c r="B29" s="9" t="s">
        <v>30</v>
      </c>
      <c r="C29" s="10" t="s">
        <v>57</v>
      </c>
      <c r="D29" s="19" t="s">
        <v>68</v>
      </c>
      <c r="E29" s="27">
        <v>700</v>
      </c>
    </row>
    <row r="30" spans="1:5" ht="16.5" thickTop="1" thickBot="1" x14ac:dyDescent="0.3">
      <c r="A30" s="26">
        <v>128</v>
      </c>
      <c r="B30" s="9" t="s">
        <v>31</v>
      </c>
      <c r="C30" s="15" t="s">
        <v>56</v>
      </c>
      <c r="D30" s="20" t="s">
        <v>68</v>
      </c>
      <c r="E30" s="27">
        <v>300</v>
      </c>
    </row>
    <row r="31" spans="1:5" ht="16.5" thickTop="1" thickBot="1" x14ac:dyDescent="0.3">
      <c r="A31" s="26">
        <v>129</v>
      </c>
      <c r="B31" s="9" t="s">
        <v>32</v>
      </c>
      <c r="C31" s="10" t="s">
        <v>55</v>
      </c>
      <c r="D31" s="13" t="s">
        <v>68</v>
      </c>
      <c r="E31" s="27">
        <v>1000</v>
      </c>
    </row>
    <row r="32" spans="1:5" ht="16.5" thickTop="1" thickBot="1" x14ac:dyDescent="0.3">
      <c r="A32" s="26">
        <v>130</v>
      </c>
      <c r="B32" s="9" t="s">
        <v>33</v>
      </c>
      <c r="C32" s="17" t="s">
        <v>61</v>
      </c>
      <c r="D32" s="8" t="s">
        <v>65</v>
      </c>
      <c r="E32" s="27">
        <v>2250</v>
      </c>
    </row>
    <row r="33" spans="1:5" ht="16.5" thickTop="1" thickBot="1" x14ac:dyDescent="0.3">
      <c r="A33" s="26">
        <v>131</v>
      </c>
      <c r="B33" s="9" t="s">
        <v>34</v>
      </c>
      <c r="C33" s="10" t="s">
        <v>59</v>
      </c>
      <c r="D33" s="8" t="s">
        <v>65</v>
      </c>
      <c r="E33" s="27">
        <v>3400</v>
      </c>
    </row>
    <row r="34" spans="1:5" ht="16.5" thickTop="1" thickBot="1" x14ac:dyDescent="0.3">
      <c r="A34" s="26">
        <v>132</v>
      </c>
      <c r="B34" s="9" t="s">
        <v>35</v>
      </c>
      <c r="C34" s="15" t="s">
        <v>62</v>
      </c>
      <c r="D34" s="8" t="s">
        <v>66</v>
      </c>
      <c r="E34" s="27">
        <v>1400</v>
      </c>
    </row>
    <row r="35" spans="1:5" ht="16.5" thickTop="1" thickBot="1" x14ac:dyDescent="0.3">
      <c r="A35" s="26">
        <v>133</v>
      </c>
      <c r="B35" s="9" t="s">
        <v>36</v>
      </c>
      <c r="C35" s="15" t="s">
        <v>63</v>
      </c>
      <c r="D35" s="13" t="s">
        <v>66</v>
      </c>
      <c r="E35" s="27">
        <v>2200</v>
      </c>
    </row>
    <row r="36" spans="1:5" ht="16.5" thickTop="1" thickBot="1" x14ac:dyDescent="0.3">
      <c r="A36" s="26">
        <v>134</v>
      </c>
      <c r="B36" s="21" t="s">
        <v>28</v>
      </c>
      <c r="C36" s="22" t="s">
        <v>28</v>
      </c>
      <c r="D36" s="8" t="s">
        <v>67</v>
      </c>
      <c r="E36" s="27">
        <v>1500</v>
      </c>
    </row>
    <row r="37" spans="1:5" ht="16.5" thickTop="1" thickBot="1" x14ac:dyDescent="0.3">
      <c r="A37" s="26">
        <v>135</v>
      </c>
      <c r="B37" s="9" t="s">
        <v>27</v>
      </c>
      <c r="C37" s="17" t="s">
        <v>77</v>
      </c>
      <c r="D37" s="13" t="s">
        <v>67</v>
      </c>
      <c r="E37" s="27">
        <v>1800</v>
      </c>
    </row>
    <row r="38" spans="1:5" ht="16.5" thickTop="1" thickBot="1" x14ac:dyDescent="0.3">
      <c r="A38" s="26">
        <v>136</v>
      </c>
      <c r="B38" s="9" t="s">
        <v>37</v>
      </c>
      <c r="C38" s="10" t="s">
        <v>78</v>
      </c>
      <c r="D38" s="14" t="s">
        <v>3</v>
      </c>
      <c r="E38" s="27">
        <v>500</v>
      </c>
    </row>
    <row r="39" spans="1:5" ht="16.5" thickTop="1" thickBot="1" x14ac:dyDescent="0.3">
      <c r="A39" s="26">
        <v>137</v>
      </c>
      <c r="B39" s="9" t="s">
        <v>42</v>
      </c>
      <c r="C39" s="15" t="s">
        <v>79</v>
      </c>
      <c r="D39" s="14" t="s">
        <v>70</v>
      </c>
      <c r="E39" s="27">
        <v>650</v>
      </c>
    </row>
    <row r="40" spans="1:5" ht="16.5" thickTop="1" thickBot="1" x14ac:dyDescent="0.3">
      <c r="A40" s="26">
        <v>138</v>
      </c>
      <c r="B40" s="9" t="s">
        <v>43</v>
      </c>
      <c r="C40" s="10" t="s">
        <v>74</v>
      </c>
      <c r="D40" s="8" t="s">
        <v>71</v>
      </c>
      <c r="E40" s="27">
        <v>1700</v>
      </c>
    </row>
    <row r="41" spans="1:5" ht="16.5" thickTop="1" thickBot="1" x14ac:dyDescent="0.3">
      <c r="A41" s="26">
        <v>139</v>
      </c>
      <c r="B41" s="9" t="s">
        <v>38</v>
      </c>
      <c r="C41" s="10" t="s">
        <v>80</v>
      </c>
      <c r="D41" s="13" t="s">
        <v>71</v>
      </c>
      <c r="E41" s="27">
        <v>1500</v>
      </c>
    </row>
    <row r="42" spans="1:5" ht="16.5" thickTop="1" thickBot="1" x14ac:dyDescent="0.3">
      <c r="A42" s="26">
        <v>140</v>
      </c>
      <c r="B42" s="9" t="s">
        <v>44</v>
      </c>
      <c r="C42" s="18" t="s">
        <v>81</v>
      </c>
      <c r="D42" s="8" t="s">
        <v>68</v>
      </c>
      <c r="E42" s="27">
        <v>500</v>
      </c>
    </row>
    <row r="43" spans="1:5" ht="16.5" thickTop="1" thickBot="1" x14ac:dyDescent="0.3">
      <c r="A43" s="26">
        <v>141</v>
      </c>
      <c r="B43" s="9" t="s">
        <v>45</v>
      </c>
      <c r="C43" s="10" t="s">
        <v>82</v>
      </c>
      <c r="D43" s="13" t="s">
        <v>68</v>
      </c>
      <c r="E43" s="27">
        <v>400</v>
      </c>
    </row>
    <row r="44" spans="1:5" ht="16.5" thickTop="1" thickBot="1" x14ac:dyDescent="0.3">
      <c r="A44" s="26">
        <v>142</v>
      </c>
      <c r="B44" s="9" t="s">
        <v>39</v>
      </c>
      <c r="C44" s="15" t="s">
        <v>83</v>
      </c>
      <c r="D44" s="14" t="s">
        <v>2</v>
      </c>
      <c r="E44" s="27">
        <v>500</v>
      </c>
    </row>
    <row r="45" spans="1:5" ht="16.5" thickTop="1" thickBot="1" x14ac:dyDescent="0.3">
      <c r="A45" s="26">
        <v>143</v>
      </c>
      <c r="B45" s="9" t="s">
        <v>40</v>
      </c>
      <c r="C45" s="10" t="s">
        <v>84</v>
      </c>
      <c r="D45" s="14" t="s">
        <v>3</v>
      </c>
      <c r="E45" s="27">
        <v>400</v>
      </c>
    </row>
    <row r="46" spans="1:5" ht="16.5" thickTop="1" thickBot="1" x14ac:dyDescent="0.3">
      <c r="A46" s="26">
        <v>144</v>
      </c>
      <c r="B46" s="25" t="s">
        <v>41</v>
      </c>
      <c r="C46" s="15" t="s">
        <v>85</v>
      </c>
      <c r="D46" s="8" t="s">
        <v>69</v>
      </c>
      <c r="E46" s="27">
        <v>1600</v>
      </c>
    </row>
    <row r="47" spans="1:5" ht="16.5" thickTop="1" thickBot="1" x14ac:dyDescent="0.3">
      <c r="A47" s="26">
        <v>145</v>
      </c>
      <c r="B47" s="21" t="s">
        <v>49</v>
      </c>
      <c r="C47" s="10" t="s">
        <v>57</v>
      </c>
      <c r="D47" s="8" t="s">
        <v>69</v>
      </c>
      <c r="E47" s="27">
        <v>1700</v>
      </c>
    </row>
    <row r="48" spans="1:5" ht="16.5" thickTop="1" thickBot="1" x14ac:dyDescent="0.3">
      <c r="A48" s="26">
        <v>146</v>
      </c>
      <c r="B48" s="21" t="s">
        <v>50</v>
      </c>
      <c r="C48" s="15" t="s">
        <v>86</v>
      </c>
      <c r="D48" s="8" t="s">
        <v>69</v>
      </c>
      <c r="E48" s="27">
        <v>1800</v>
      </c>
    </row>
    <row r="49" spans="1:5" ht="16.5" thickTop="1" thickBot="1" x14ac:dyDescent="0.3">
      <c r="A49" s="26">
        <v>147</v>
      </c>
      <c r="B49" s="21" t="s">
        <v>51</v>
      </c>
      <c r="C49" s="23" t="s">
        <v>79</v>
      </c>
      <c r="D49" s="12" t="s">
        <v>69</v>
      </c>
      <c r="E49" s="27">
        <v>1900</v>
      </c>
    </row>
    <row r="50" spans="1:5" ht="15.75" thickTop="1" x14ac:dyDescent="0.25">
      <c r="C50" s="1" t="s">
        <v>87</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D93C8-8521-4ECA-9E4B-E177925EB84D}">
  <sheetPr codeName="Sheet3"/>
  <dimension ref="A1:K347"/>
  <sheetViews>
    <sheetView zoomScaleNormal="100" workbookViewId="0">
      <selection activeCell="B1" sqref="B1:B1048576"/>
    </sheetView>
  </sheetViews>
  <sheetFormatPr defaultRowHeight="15" x14ac:dyDescent="0.25"/>
  <cols>
    <col min="1" max="1" width="19.7109375" style="3" customWidth="1"/>
    <col min="2" max="3" width="19.7109375" style="2" customWidth="1"/>
    <col min="4" max="4" width="17.42578125" style="3" customWidth="1"/>
    <col min="5" max="5" width="17.7109375" style="3" customWidth="1"/>
    <col min="6" max="6" width="20" style="3" customWidth="1"/>
    <col min="7" max="7" width="14.140625" style="6" customWidth="1"/>
    <col min="8" max="8" width="34.140625" style="41" customWidth="1"/>
    <col min="9" max="9" width="44.140625" style="42" customWidth="1"/>
    <col min="10" max="10" width="9.5703125" bestFit="1" customWidth="1"/>
    <col min="13" max="14" width="9.5703125" bestFit="1" customWidth="1"/>
  </cols>
  <sheetData>
    <row r="1" spans="1:11" ht="30" customHeight="1" x14ac:dyDescent="0.25">
      <c r="A1" s="34" t="s">
        <v>190</v>
      </c>
      <c r="B1" s="70" t="s">
        <v>4</v>
      </c>
      <c r="C1" s="35" t="s">
        <v>200</v>
      </c>
      <c r="D1" s="36" t="s">
        <v>202</v>
      </c>
      <c r="E1" s="36" t="s">
        <v>0</v>
      </c>
      <c r="F1" s="36" t="s">
        <v>194</v>
      </c>
      <c r="G1" s="37" t="s">
        <v>195</v>
      </c>
      <c r="H1" s="39" t="s">
        <v>265</v>
      </c>
      <c r="I1" s="39" t="s">
        <v>266</v>
      </c>
    </row>
    <row r="2" spans="1:11" x14ac:dyDescent="0.25">
      <c r="A2" s="4">
        <v>1001</v>
      </c>
      <c r="B2" s="2">
        <v>45901</v>
      </c>
      <c r="C2" s="3">
        <v>1</v>
      </c>
      <c r="D2" s="3">
        <v>142</v>
      </c>
      <c r="E2" s="3">
        <v>1</v>
      </c>
      <c r="F2" s="6">
        <f>_xlfn.XLOOKUP(D2, Products!A:A,Products!E:E, )</f>
        <v>500</v>
      </c>
      <c r="G2" s="5">
        <f t="shared" ref="G2:G65" si="0">E2 *F2</f>
        <v>500</v>
      </c>
      <c r="H2" s="3" t="str">
        <f>_xlfn.XLOOKUP(C2,Customers!A:A,Customers!B:B)</f>
        <v>Mohammed Ali</v>
      </c>
      <c r="I2" s="3" t="str">
        <f>_xlfn.XLOOKUP(D2,Products!A:A,Products!B:B)</f>
        <v>Apple Magic Keyboard</v>
      </c>
    </row>
    <row r="3" spans="1:11" x14ac:dyDescent="0.25">
      <c r="A3" s="3">
        <v>1002</v>
      </c>
      <c r="B3" s="2">
        <v>45902</v>
      </c>
      <c r="C3" s="3">
        <v>2</v>
      </c>
      <c r="D3" s="3">
        <v>112</v>
      </c>
      <c r="E3" s="3">
        <v>1</v>
      </c>
      <c r="F3" s="6">
        <f>_xlfn.XLOOKUP(D3, Products!A:A,Products!E:E, )</f>
        <v>650</v>
      </c>
      <c r="G3" s="5">
        <f t="shared" si="0"/>
        <v>650</v>
      </c>
      <c r="H3" s="3" t="str">
        <f>_xlfn.XLOOKUP(C3,Customers!A:A,Customers!B:B)</f>
        <v>Mona Salah</v>
      </c>
      <c r="I3" s="3" t="str">
        <f>_xlfn.XLOOKUP(D3,Products!A:A,Products!B:B)</f>
        <v>Crucial E100 Gen4 NVMe M.2 - Black - 1TB</v>
      </c>
    </row>
    <row r="4" spans="1:11" x14ac:dyDescent="0.25">
      <c r="A4" s="3">
        <v>1003</v>
      </c>
      <c r="B4" s="2">
        <v>45902</v>
      </c>
      <c r="C4" s="3">
        <v>2</v>
      </c>
      <c r="D4" s="3">
        <v>106</v>
      </c>
      <c r="E4" s="3">
        <v>2</v>
      </c>
      <c r="F4" s="6">
        <f>_xlfn.XLOOKUP(D4, Products!A:A,Products!E:E, )</f>
        <v>800</v>
      </c>
      <c r="G4" s="5">
        <f t="shared" si="0"/>
        <v>1600</v>
      </c>
      <c r="H4" s="3" t="str">
        <f>_xlfn.XLOOKUP(C4,Customers!A:A,Customers!B:B)</f>
        <v>Mona Salah</v>
      </c>
      <c r="I4" s="3" t="str">
        <f>_xlfn.XLOOKUP(D4,Products!A:A,Products!B:B)</f>
        <v>Mouse_razer basilisk v3</v>
      </c>
    </row>
    <row r="5" spans="1:11" x14ac:dyDescent="0.25">
      <c r="A5" s="3">
        <v>1004</v>
      </c>
      <c r="B5" s="2">
        <v>45903</v>
      </c>
      <c r="C5" s="3">
        <v>3</v>
      </c>
      <c r="D5" s="3">
        <v>108</v>
      </c>
      <c r="E5" s="3">
        <v>2</v>
      </c>
      <c r="F5" s="6">
        <f>_xlfn.XLOOKUP(D5, Products!A:A,Products!E:E, )</f>
        <v>400</v>
      </c>
      <c r="G5" s="5">
        <f t="shared" si="0"/>
        <v>800</v>
      </c>
      <c r="H5" s="3" t="str">
        <f>_xlfn.XLOOKUP(C5,Customers!A:A,Customers!B:B)</f>
        <v>Turky Abdullah</v>
      </c>
      <c r="I5" s="3" t="str">
        <f>_xlfn.XLOOKUP(D5,Products!A:A,Products!B:B)</f>
        <v>Logitech MX Pro  Mouse</v>
      </c>
    </row>
    <row r="6" spans="1:11" x14ac:dyDescent="0.25">
      <c r="A6" s="3">
        <v>1005</v>
      </c>
      <c r="B6" s="2">
        <v>45903</v>
      </c>
      <c r="C6" s="3">
        <v>4</v>
      </c>
      <c r="D6" s="3">
        <v>140</v>
      </c>
      <c r="E6" s="3">
        <v>2</v>
      </c>
      <c r="F6" s="6">
        <f>_xlfn.XLOOKUP(D6, Products!A:A,Products!E:E, )</f>
        <v>500</v>
      </c>
      <c r="G6" s="5">
        <f t="shared" si="0"/>
        <v>1000</v>
      </c>
      <c r="H6" s="3" t="str">
        <f>_xlfn.XLOOKUP(C6,Customers!A:A,Customers!B:B)</f>
        <v xml:space="preserve"> Sara Khalid</v>
      </c>
      <c r="I6" s="3" t="str">
        <f>_xlfn.XLOOKUP(D6,Products!A:A,Products!B:B)</f>
        <v>WD Black SN850X 1TB</v>
      </c>
    </row>
    <row r="7" spans="1:11" x14ac:dyDescent="0.25">
      <c r="A7" s="3">
        <v>1006</v>
      </c>
      <c r="B7" s="2">
        <v>45904</v>
      </c>
      <c r="C7" s="3">
        <v>5</v>
      </c>
      <c r="D7" s="3">
        <v>116</v>
      </c>
      <c r="E7" s="3">
        <v>1</v>
      </c>
      <c r="F7" s="6">
        <f>_xlfn.XLOOKUP(D7, Products!A:A,Products!E:E, )</f>
        <v>2002</v>
      </c>
      <c r="G7" s="5">
        <f t="shared" si="0"/>
        <v>2002</v>
      </c>
      <c r="H7" s="3" t="str">
        <f>_xlfn.XLOOKUP(C7,Customers!A:A,Customers!B:B)</f>
        <v xml:space="preserve"> Omar Hassan</v>
      </c>
      <c r="I7" s="3" t="str">
        <f>_xlfn.XLOOKUP(D7,Products!A:A,Products!B:B)</f>
        <v>PNY GeForce RTX 5060 Ti ARGB OC Triple Fan</v>
      </c>
    </row>
    <row r="8" spans="1:11" x14ac:dyDescent="0.25">
      <c r="A8" s="3">
        <v>1007</v>
      </c>
      <c r="B8" s="2">
        <v>45905</v>
      </c>
      <c r="C8" s="3">
        <v>6</v>
      </c>
      <c r="D8" s="3">
        <v>100</v>
      </c>
      <c r="E8" s="3">
        <v>2</v>
      </c>
      <c r="F8" s="6">
        <f>_xlfn.XLOOKUP(D8, Products!A:A,Products!E:E, )</f>
        <v>1000</v>
      </c>
      <c r="G8" s="5">
        <f>E8 *F8</f>
        <v>2000</v>
      </c>
      <c r="H8" s="3" t="str">
        <f>_xlfn.XLOOKUP(C8,Customers!A:A,Customers!B:B)</f>
        <v xml:space="preserve"> Noor Abdullah</v>
      </c>
      <c r="I8" s="3" t="str">
        <f>_xlfn.XLOOKUP(D8,Products!A:A,Products!B:B)</f>
        <v>SteelSeries Arctis 7</v>
      </c>
    </row>
    <row r="9" spans="1:11" x14ac:dyDescent="0.25">
      <c r="A9" s="3">
        <v>1008</v>
      </c>
      <c r="B9" s="2">
        <v>45905</v>
      </c>
      <c r="C9" s="3">
        <v>7</v>
      </c>
      <c r="D9" s="3">
        <v>120</v>
      </c>
      <c r="E9" s="3">
        <v>1</v>
      </c>
      <c r="F9" s="6">
        <f>_xlfn.XLOOKUP(D9, Products!A:A,Products!E:E, )</f>
        <v>2000</v>
      </c>
      <c r="G9" s="5">
        <f t="shared" si="0"/>
        <v>2000</v>
      </c>
      <c r="H9" s="3" t="str">
        <f>_xlfn.XLOOKUP(C9,Customers!A:A,Customers!B:B)</f>
        <v xml:space="preserve"> Faisal Mohammed</v>
      </c>
      <c r="I9" s="3" t="str">
        <f>_xlfn.XLOOKUP(D9,Products!A:A,Products!B:B)</f>
        <v>Intel Core i9-13900 CPU</v>
      </c>
    </row>
    <row r="10" spans="1:11" x14ac:dyDescent="0.25">
      <c r="A10" s="3">
        <v>1009</v>
      </c>
      <c r="B10" s="2">
        <v>45905</v>
      </c>
      <c r="C10" s="3">
        <v>8</v>
      </c>
      <c r="D10" s="3">
        <v>112</v>
      </c>
      <c r="E10" s="3">
        <v>1</v>
      </c>
      <c r="F10" s="6">
        <f>_xlfn.XLOOKUP(D10, Products!A:A,Products!E:E, )</f>
        <v>650</v>
      </c>
      <c r="G10" s="5">
        <f t="shared" si="0"/>
        <v>650</v>
      </c>
      <c r="H10" s="3" t="str">
        <f>_xlfn.XLOOKUP(C10,Customers!A:A,Customers!B:B)</f>
        <v xml:space="preserve"> Aisha Saeed</v>
      </c>
      <c r="I10" s="3" t="str">
        <f>_xlfn.XLOOKUP(D10,Products!A:A,Products!B:B)</f>
        <v>Crucial E100 Gen4 NVMe M.2 - Black - 1TB</v>
      </c>
    </row>
    <row r="11" spans="1:11" x14ac:dyDescent="0.25">
      <c r="A11" s="3">
        <v>1010</v>
      </c>
      <c r="B11" s="2">
        <v>45906</v>
      </c>
      <c r="C11" s="3">
        <v>1</v>
      </c>
      <c r="D11" s="3">
        <v>116</v>
      </c>
      <c r="E11" s="3">
        <v>1</v>
      </c>
      <c r="F11" s="6">
        <f>_xlfn.XLOOKUP(D11, Products!A:A,Products!E:E, )</f>
        <v>2002</v>
      </c>
      <c r="G11" s="5">
        <f t="shared" si="0"/>
        <v>2002</v>
      </c>
      <c r="H11" s="3" t="str">
        <f>_xlfn.XLOOKUP(C11,Customers!A:A,Customers!B:B)</f>
        <v>Mohammed Ali</v>
      </c>
      <c r="I11" s="3" t="str">
        <f>_xlfn.XLOOKUP(D11,Products!A:A,Products!B:B)</f>
        <v>PNY GeForce RTX 5060 Ti ARGB OC Triple Fan</v>
      </c>
      <c r="J11" s="5"/>
    </row>
    <row r="12" spans="1:11" x14ac:dyDescent="0.25">
      <c r="A12" s="3">
        <v>1011</v>
      </c>
      <c r="B12" s="2">
        <v>45907</v>
      </c>
      <c r="C12" s="3">
        <v>2</v>
      </c>
      <c r="D12" s="3">
        <v>103</v>
      </c>
      <c r="E12" s="3">
        <v>2</v>
      </c>
      <c r="F12" s="6">
        <f>_xlfn.XLOOKUP(D12, Products!A:A,Products!E:E, )</f>
        <v>280</v>
      </c>
      <c r="G12" s="5">
        <f t="shared" si="0"/>
        <v>560</v>
      </c>
      <c r="H12" s="3" t="str">
        <f>_xlfn.XLOOKUP(C12,Customers!A:A,Customers!B:B)</f>
        <v>Mona Salah</v>
      </c>
      <c r="I12" s="3" t="str">
        <f>_xlfn.XLOOKUP(D12,Products!A:A,Products!B:B)</f>
        <v>Kayborad_Red_dragon</v>
      </c>
      <c r="J12" s="5"/>
      <c r="K12" s="5"/>
    </row>
    <row r="13" spans="1:11" x14ac:dyDescent="0.25">
      <c r="A13" s="3">
        <v>1012</v>
      </c>
      <c r="B13" s="2">
        <v>45908</v>
      </c>
      <c r="C13" s="3">
        <v>3</v>
      </c>
      <c r="D13" s="3">
        <v>119</v>
      </c>
      <c r="E13" s="3">
        <v>1</v>
      </c>
      <c r="F13" s="6">
        <f>_xlfn.XLOOKUP(D13, Products!A:A,Products!E:E, )</f>
        <v>1400</v>
      </c>
      <c r="G13" s="5">
        <f t="shared" si="0"/>
        <v>1400</v>
      </c>
      <c r="H13" s="3" t="str">
        <f>_xlfn.XLOOKUP(C13,Customers!A:A,Customers!B:B)</f>
        <v>Turky Abdullah</v>
      </c>
      <c r="I13" s="3" t="str">
        <f>_xlfn.XLOOKUP(D13,Products!A:A,Products!B:B)</f>
        <v>Intel Core i7-13700 CPU</v>
      </c>
    </row>
    <row r="14" spans="1:11" x14ac:dyDescent="0.25">
      <c r="A14" s="3">
        <v>1013</v>
      </c>
      <c r="B14" s="2">
        <v>45909</v>
      </c>
      <c r="C14" s="3">
        <v>4</v>
      </c>
      <c r="D14" s="3">
        <v>112</v>
      </c>
      <c r="E14" s="3">
        <v>1</v>
      </c>
      <c r="F14" s="6">
        <f>_xlfn.XLOOKUP(D14, Products!A:A,Products!E:E, )</f>
        <v>650</v>
      </c>
      <c r="G14" s="5">
        <f t="shared" si="0"/>
        <v>650</v>
      </c>
      <c r="H14" s="3" t="str">
        <f>_xlfn.XLOOKUP(C14,Customers!A:A,Customers!B:B)</f>
        <v xml:space="preserve"> Sara Khalid</v>
      </c>
      <c r="I14" s="3" t="str">
        <f>_xlfn.XLOOKUP(D14,Products!A:A,Products!B:B)</f>
        <v>Crucial E100 Gen4 NVMe M.2 - Black - 1TB</v>
      </c>
    </row>
    <row r="15" spans="1:11" x14ac:dyDescent="0.25">
      <c r="A15" s="3">
        <v>1014</v>
      </c>
      <c r="B15" s="2">
        <v>45910</v>
      </c>
      <c r="C15" s="3">
        <v>5</v>
      </c>
      <c r="D15" s="3">
        <v>127</v>
      </c>
      <c r="E15" s="3">
        <v>2</v>
      </c>
      <c r="F15" s="6">
        <f>_xlfn.XLOOKUP(D15, Products!A:A,Products!E:E, )</f>
        <v>700</v>
      </c>
      <c r="G15" s="5">
        <f t="shared" si="0"/>
        <v>1400</v>
      </c>
      <c r="H15" s="3" t="str">
        <f>_xlfn.XLOOKUP(C15,Customers!A:A,Customers!B:B)</f>
        <v xml:space="preserve"> Omar Hassan</v>
      </c>
      <c r="I15" s="3" t="str">
        <f>_xlfn.XLOOKUP(D15,Products!A:A,Products!B:B)</f>
        <v>Samsung 990 EVO PLUS 1TB NVMe</v>
      </c>
    </row>
    <row r="16" spans="1:11" x14ac:dyDescent="0.25">
      <c r="A16" s="3">
        <v>1015</v>
      </c>
      <c r="B16" s="2">
        <v>45911</v>
      </c>
      <c r="C16" s="3">
        <v>6</v>
      </c>
      <c r="D16" s="3">
        <v>103</v>
      </c>
      <c r="E16" s="3">
        <v>2</v>
      </c>
      <c r="F16" s="6">
        <f>_xlfn.XLOOKUP(D16, Products!A:A,Products!E:E, )</f>
        <v>280</v>
      </c>
      <c r="G16" s="5">
        <f t="shared" si="0"/>
        <v>560</v>
      </c>
      <c r="H16" s="3" t="str">
        <f>_xlfn.XLOOKUP(C16,Customers!A:A,Customers!B:B)</f>
        <v xml:space="preserve"> Noor Abdullah</v>
      </c>
      <c r="I16" s="3" t="str">
        <f>_xlfn.XLOOKUP(D16,Products!A:A,Products!B:B)</f>
        <v>Kayborad_Red_dragon</v>
      </c>
    </row>
    <row r="17" spans="1:9" x14ac:dyDescent="0.25">
      <c r="A17" s="3">
        <v>1016</v>
      </c>
      <c r="B17" s="2">
        <v>45912</v>
      </c>
      <c r="C17" s="3">
        <v>7</v>
      </c>
      <c r="D17" s="3">
        <v>111</v>
      </c>
      <c r="E17" s="3">
        <v>1</v>
      </c>
      <c r="F17" s="6">
        <f>_xlfn.XLOOKUP(D17, Products!A:A,Products!E:E, )</f>
        <v>400</v>
      </c>
      <c r="G17" s="5">
        <f t="shared" si="0"/>
        <v>400</v>
      </c>
      <c r="H17" s="3" t="str">
        <f>_xlfn.XLOOKUP(C17,Customers!A:A,Customers!B:B)</f>
        <v xml:space="preserve"> Faisal Mohammed</v>
      </c>
      <c r="I17" s="3" t="str">
        <f>_xlfn.XLOOKUP(D17,Products!A:A,Products!B:B)</f>
        <v>XPG GAMMIX S60 Gen 4 NVME M.2 - Black - 512gb</v>
      </c>
    </row>
    <row r="18" spans="1:9" x14ac:dyDescent="0.25">
      <c r="A18" s="3">
        <v>1017</v>
      </c>
      <c r="B18" s="2">
        <v>45913</v>
      </c>
      <c r="C18" s="3">
        <v>8</v>
      </c>
      <c r="D18" s="3">
        <v>107</v>
      </c>
      <c r="E18" s="3">
        <v>1</v>
      </c>
      <c r="F18" s="6">
        <f>_xlfn.XLOOKUP(D18, Products!A:A,Products!E:E, )</f>
        <v>250</v>
      </c>
      <c r="G18" s="5">
        <f t="shared" si="0"/>
        <v>250</v>
      </c>
      <c r="H18" s="3" t="str">
        <f>_xlfn.XLOOKUP(C18,Customers!A:A,Customers!B:B)</f>
        <v xml:space="preserve"> Aisha Saeed</v>
      </c>
      <c r="I18" s="3" t="str">
        <f>_xlfn.XLOOKUP(D18,Products!A:A,Products!B:B)</f>
        <v>Logitech_G50</v>
      </c>
    </row>
    <row r="19" spans="1:9" x14ac:dyDescent="0.25">
      <c r="A19" s="3">
        <v>1018</v>
      </c>
      <c r="B19" s="2">
        <v>45914</v>
      </c>
      <c r="C19" s="3">
        <v>9</v>
      </c>
      <c r="D19" s="3">
        <v>142</v>
      </c>
      <c r="E19" s="3">
        <v>2</v>
      </c>
      <c r="F19" s="6">
        <f>_xlfn.XLOOKUP(D19, Products!A:A,Products!E:E, )</f>
        <v>500</v>
      </c>
      <c r="G19" s="5">
        <f t="shared" si="0"/>
        <v>1000</v>
      </c>
      <c r="H19" s="3" t="str">
        <f>_xlfn.XLOOKUP(C19,Customers!A:A,Customers!B:B)</f>
        <v xml:space="preserve"> Khaled Ibrahim</v>
      </c>
      <c r="I19" s="3" t="str">
        <f>_xlfn.XLOOKUP(D19,Products!A:A,Products!B:B)</f>
        <v>Apple Magic Keyboard</v>
      </c>
    </row>
    <row r="20" spans="1:9" x14ac:dyDescent="0.25">
      <c r="A20" s="3">
        <v>1019</v>
      </c>
      <c r="B20" s="2">
        <v>45915</v>
      </c>
      <c r="C20" s="3">
        <v>10</v>
      </c>
      <c r="D20" s="3">
        <v>102</v>
      </c>
      <c r="E20" s="3">
        <v>1</v>
      </c>
      <c r="F20" s="6">
        <f>_xlfn.XLOOKUP(D20, Products!A:A,Products!E:E, )</f>
        <v>1800</v>
      </c>
      <c r="G20" s="5">
        <f t="shared" si="0"/>
        <v>1800</v>
      </c>
      <c r="H20" s="3" t="str">
        <f>_xlfn.XLOOKUP(C20,Customers!A:A,Customers!B:B)</f>
        <v xml:space="preserve"> Lina Abdulrahman</v>
      </c>
      <c r="I20" s="3" t="str">
        <f>_xlfn.XLOOKUP(D20,Products!A:A,Products!B:B)</f>
        <v>Corsair HS50 Pro</v>
      </c>
    </row>
    <row r="21" spans="1:9" x14ac:dyDescent="0.25">
      <c r="A21" s="3">
        <v>1020</v>
      </c>
      <c r="B21" s="2">
        <v>45916</v>
      </c>
      <c r="C21" s="3">
        <v>11</v>
      </c>
      <c r="D21" s="3">
        <v>113</v>
      </c>
      <c r="E21" s="3">
        <v>1</v>
      </c>
      <c r="F21" s="6">
        <f>_xlfn.XLOOKUP(D21, Products!A:A,Products!E:E, )</f>
        <v>800</v>
      </c>
      <c r="G21" s="5">
        <f t="shared" si="0"/>
        <v>800</v>
      </c>
      <c r="H21" s="3" t="str">
        <f>_xlfn.XLOOKUP(C21,Customers!A:A,Customers!B:B)</f>
        <v xml:space="preserve"> Youssef Nasser</v>
      </c>
      <c r="I21" s="3" t="str">
        <f>_xlfn.XLOOKUP(D21,Products!A:A,Products!B:B)</f>
        <v>Samsung 990 EVO PLUS PCIe 4.0 NVMe M.2 - 1TB</v>
      </c>
    </row>
    <row r="22" spans="1:9" x14ac:dyDescent="0.25">
      <c r="A22" s="3">
        <v>1021</v>
      </c>
      <c r="B22" s="2">
        <v>45917</v>
      </c>
      <c r="C22" s="3">
        <v>12</v>
      </c>
      <c r="D22" s="3">
        <v>121</v>
      </c>
      <c r="E22" s="3">
        <v>1</v>
      </c>
      <c r="F22" s="6">
        <f>_xlfn.XLOOKUP(D22, Products!A:A,Products!E:E, )</f>
        <v>1500</v>
      </c>
      <c r="G22" s="5">
        <f t="shared" si="0"/>
        <v>1500</v>
      </c>
      <c r="H22" s="3" t="str">
        <f>_xlfn.XLOOKUP(C22,Customers!A:A,Customers!B:B)</f>
        <v xml:space="preserve"> Huda Saleh</v>
      </c>
      <c r="I22" s="3" t="str">
        <f>_xlfn.XLOOKUP(D22,Products!A:A,Products!B:B)</f>
        <v>Intel Core Ultra 7 265KF Tray CPU</v>
      </c>
    </row>
    <row r="23" spans="1:9" x14ac:dyDescent="0.25">
      <c r="A23" s="3">
        <v>1022</v>
      </c>
      <c r="B23" s="2">
        <v>45918</v>
      </c>
      <c r="C23" s="3">
        <v>13</v>
      </c>
      <c r="D23" s="3">
        <v>110</v>
      </c>
      <c r="E23" s="3">
        <v>1</v>
      </c>
      <c r="F23" s="6">
        <f>_xlfn.XLOOKUP(D23, Products!A:A,Products!E:E, )</f>
        <v>1200</v>
      </c>
      <c r="G23" s="5">
        <f t="shared" si="0"/>
        <v>1200</v>
      </c>
      <c r="H23" s="3" t="str">
        <f>_xlfn.XLOOKUP(C23,Customers!A:A,Customers!B:B)</f>
        <v xml:space="preserve"> Ahmed Faris</v>
      </c>
      <c r="I23" s="3" t="str">
        <f>_xlfn.XLOOKUP(D23,Products!A:A,Products!B:B)</f>
        <v>XPG Gammix S70 Blade Gen 4 M.2 - 2TB</v>
      </c>
    </row>
    <row r="24" spans="1:9" x14ac:dyDescent="0.25">
      <c r="A24" s="3">
        <v>1023</v>
      </c>
      <c r="B24" s="2">
        <v>45918</v>
      </c>
      <c r="C24" s="3">
        <v>14</v>
      </c>
      <c r="D24" s="3">
        <v>110</v>
      </c>
      <c r="E24" s="3">
        <v>2</v>
      </c>
      <c r="F24" s="6">
        <f>_xlfn.XLOOKUP(D24, Products!A:A,Products!E:E, )</f>
        <v>1200</v>
      </c>
      <c r="G24" s="5">
        <f t="shared" si="0"/>
        <v>2400</v>
      </c>
      <c r="H24" s="3" t="str">
        <f>_xlfn.XLOOKUP(C24,Customers!A:A,Customers!B:B)</f>
        <v xml:space="preserve"> Reem Adel</v>
      </c>
      <c r="I24" s="3" t="str">
        <f>_xlfn.XLOOKUP(D24,Products!A:A,Products!B:B)</f>
        <v>XPG Gammix S70 Blade Gen 4 M.2 - 2TB</v>
      </c>
    </row>
    <row r="25" spans="1:9" x14ac:dyDescent="0.25">
      <c r="A25" s="3">
        <v>1024</v>
      </c>
      <c r="B25" s="2">
        <v>45919</v>
      </c>
      <c r="C25" s="3">
        <v>15</v>
      </c>
      <c r="D25" s="3">
        <v>137</v>
      </c>
      <c r="E25" s="3">
        <v>2</v>
      </c>
      <c r="F25" s="6">
        <f>_xlfn.XLOOKUP(D25, Products!A:A,Products!E:E, )</f>
        <v>650</v>
      </c>
      <c r="G25" s="5">
        <f t="shared" si="0"/>
        <v>1300</v>
      </c>
      <c r="H25" s="3" t="str">
        <f>_xlfn.XLOOKUP(C25,Customers!A:A,Customers!B:B)</f>
        <v xml:space="preserve"> Abdullah Sami</v>
      </c>
      <c r="I25" s="3" t="str">
        <f>_xlfn.XLOOKUP(D25,Products!A:A,Products!B:B)</f>
        <v>ASUS TUF Gaming B650-PLUS</v>
      </c>
    </row>
    <row r="26" spans="1:9" x14ac:dyDescent="0.25">
      <c r="A26" s="3">
        <v>1025</v>
      </c>
      <c r="B26" s="2">
        <v>45920</v>
      </c>
      <c r="C26" s="3">
        <v>8</v>
      </c>
      <c r="D26" s="3">
        <v>145</v>
      </c>
      <c r="E26" s="3">
        <v>1</v>
      </c>
      <c r="F26" s="6">
        <f>_xlfn.XLOOKUP(D26, Products!A:A,Products!E:E, )</f>
        <v>1700</v>
      </c>
      <c r="G26" s="5">
        <f t="shared" si="0"/>
        <v>1700</v>
      </c>
      <c r="H26" s="3" t="str">
        <f>_xlfn.XLOOKUP(C26,Customers!A:A,Customers!B:B)</f>
        <v xml:space="preserve"> Aisha Saeed</v>
      </c>
      <c r="I26" s="3" t="str">
        <f>_xlfn.XLOOKUP(D26,Products!A:A,Products!B:B)</f>
        <v>Samsung Odyssey G5 27" QHD 144Hz</v>
      </c>
    </row>
    <row r="27" spans="1:9" x14ac:dyDescent="0.25">
      <c r="A27" s="3">
        <v>1026</v>
      </c>
      <c r="B27" s="2">
        <v>45921</v>
      </c>
      <c r="C27" s="3">
        <v>9</v>
      </c>
      <c r="D27" s="3">
        <v>121</v>
      </c>
      <c r="E27" s="3">
        <v>1</v>
      </c>
      <c r="F27" s="6">
        <f>_xlfn.XLOOKUP(D27, Products!A:A,Products!E:E, )</f>
        <v>1500</v>
      </c>
      <c r="G27" s="5">
        <f t="shared" si="0"/>
        <v>1500</v>
      </c>
      <c r="H27" s="3" t="str">
        <f>_xlfn.XLOOKUP(C27,Customers!A:A,Customers!B:B)</f>
        <v xml:space="preserve"> Khaled Ibrahim</v>
      </c>
      <c r="I27" s="3" t="str">
        <f>_xlfn.XLOOKUP(D27,Products!A:A,Products!B:B)</f>
        <v>Intel Core Ultra 7 265KF Tray CPU</v>
      </c>
    </row>
    <row r="28" spans="1:9" x14ac:dyDescent="0.25">
      <c r="A28" s="3">
        <v>1027</v>
      </c>
      <c r="B28" s="2">
        <v>45922</v>
      </c>
      <c r="C28" s="3">
        <v>10</v>
      </c>
      <c r="D28" s="3">
        <v>132</v>
      </c>
      <c r="E28" s="3">
        <v>1</v>
      </c>
      <c r="F28" s="6">
        <f>_xlfn.XLOOKUP(D28, Products!A:A,Products!E:E, )</f>
        <v>1400</v>
      </c>
      <c r="G28" s="5">
        <f t="shared" si="0"/>
        <v>1400</v>
      </c>
      <c r="H28" s="3" t="str">
        <f>_xlfn.XLOOKUP(C28,Customers!A:A,Customers!B:B)</f>
        <v xml:space="preserve"> Lina Abdulrahman</v>
      </c>
      <c r="I28" s="3" t="str">
        <f>_xlfn.XLOOKUP(D28,Products!A:A,Products!B:B)</f>
        <v>Intel Core i7 14700K Processor</v>
      </c>
    </row>
    <row r="29" spans="1:9" x14ac:dyDescent="0.25">
      <c r="A29" s="3">
        <v>1028</v>
      </c>
      <c r="B29" s="2">
        <v>45923</v>
      </c>
      <c r="C29" s="3">
        <v>12</v>
      </c>
      <c r="D29" s="3">
        <v>147</v>
      </c>
      <c r="E29" s="3">
        <v>1</v>
      </c>
      <c r="F29" s="6">
        <f>_xlfn.XLOOKUP(D29, Products!A:A,Products!E:E, )</f>
        <v>1900</v>
      </c>
      <c r="G29" s="5">
        <f t="shared" si="0"/>
        <v>1900</v>
      </c>
      <c r="H29" s="3" t="str">
        <f>_xlfn.XLOOKUP(C29,Customers!A:A,Customers!B:B)</f>
        <v xml:space="preserve"> Huda Saleh</v>
      </c>
      <c r="I29" s="3" t="str">
        <f>_xlfn.XLOOKUP(D29,Products!A:A,Products!B:B)</f>
        <v>ASUS TUF Gaming VG27AQ 165Hz</v>
      </c>
    </row>
    <row r="30" spans="1:9" x14ac:dyDescent="0.25">
      <c r="A30" s="3">
        <v>1029</v>
      </c>
      <c r="B30" s="2">
        <v>45924</v>
      </c>
      <c r="C30" s="3">
        <v>5</v>
      </c>
      <c r="D30" s="3">
        <v>119</v>
      </c>
      <c r="E30" s="3">
        <v>2</v>
      </c>
      <c r="F30" s="6">
        <f>_xlfn.XLOOKUP(D30, Products!A:A,Products!E:E, )</f>
        <v>1400</v>
      </c>
      <c r="G30" s="5">
        <f t="shared" si="0"/>
        <v>2800</v>
      </c>
      <c r="H30" s="3" t="str">
        <f>_xlfn.XLOOKUP(C30,Customers!A:A,Customers!B:B)</f>
        <v xml:space="preserve"> Omar Hassan</v>
      </c>
      <c r="I30" s="3" t="str">
        <f>_xlfn.XLOOKUP(D30,Products!A:A,Products!B:B)</f>
        <v>Intel Core i7-13700 CPU</v>
      </c>
    </row>
    <row r="31" spans="1:9" x14ac:dyDescent="0.25">
      <c r="A31" s="3">
        <v>1030</v>
      </c>
      <c r="B31" s="2">
        <v>45925</v>
      </c>
      <c r="C31" s="3">
        <v>16</v>
      </c>
      <c r="D31" s="3">
        <v>105</v>
      </c>
      <c r="E31" s="3">
        <v>1</v>
      </c>
      <c r="F31" s="6">
        <f>_xlfn.XLOOKUP(D31, Products!A:A,Products!E:E, )</f>
        <v>700</v>
      </c>
      <c r="G31" s="5">
        <f t="shared" si="0"/>
        <v>700</v>
      </c>
      <c r="H31" s="3" t="str">
        <f>_xlfn.XLOOKUP(C31,Customers!A:A,Customers!B:B)</f>
        <v xml:space="preserve"> Maha Yasin</v>
      </c>
      <c r="I31" s="3" t="str">
        <f>_xlfn.XLOOKUP(D31,Products!A:A,Products!B:B)</f>
        <v>HyperX Cloud Alpha</v>
      </c>
    </row>
    <row r="32" spans="1:9" x14ac:dyDescent="0.25">
      <c r="A32" s="3">
        <v>1031</v>
      </c>
      <c r="B32" s="2">
        <v>45926</v>
      </c>
      <c r="C32" s="3">
        <v>17</v>
      </c>
      <c r="D32" s="3">
        <v>110</v>
      </c>
      <c r="E32" s="3">
        <v>2</v>
      </c>
      <c r="F32" s="6">
        <f>_xlfn.XLOOKUP(D32, Products!A:A,Products!E:E, )</f>
        <v>1200</v>
      </c>
      <c r="G32" s="5">
        <f t="shared" si="0"/>
        <v>2400</v>
      </c>
      <c r="H32" s="3" t="str">
        <f>_xlfn.XLOOKUP(C32,Customers!A:A,Customers!B:B)</f>
        <v xml:space="preserve"> Salman Rashid</v>
      </c>
      <c r="I32" s="3" t="str">
        <f>_xlfn.XLOOKUP(D32,Products!A:A,Products!B:B)</f>
        <v>XPG Gammix S70 Blade Gen 4 M.2 - 2TB</v>
      </c>
    </row>
    <row r="33" spans="1:9" x14ac:dyDescent="0.25">
      <c r="A33" s="3">
        <v>1032</v>
      </c>
      <c r="B33" s="2">
        <v>45926</v>
      </c>
      <c r="C33" s="3">
        <v>18</v>
      </c>
      <c r="D33" s="3">
        <v>139</v>
      </c>
      <c r="E33" s="3">
        <v>2</v>
      </c>
      <c r="F33" s="6">
        <f>_xlfn.XLOOKUP(D33, Products!A:A,Products!E:E, )</f>
        <v>1500</v>
      </c>
      <c r="G33" s="5">
        <f t="shared" si="0"/>
        <v>3000</v>
      </c>
      <c r="H33" s="3" t="str">
        <f>_xlfn.XLOOKUP(C33,Customers!A:A,Customers!B:B)</f>
        <v xml:space="preserve"> Dana Faisal</v>
      </c>
      <c r="I33" s="3" t="str">
        <f>_xlfn.XLOOKUP(D33,Products!A:A,Products!B:B)</f>
        <v>Kingston_FURY Beast 16GB DDR5</v>
      </c>
    </row>
    <row r="34" spans="1:9" x14ac:dyDescent="0.25">
      <c r="A34" s="3">
        <v>1033</v>
      </c>
      <c r="B34" s="2">
        <v>45926</v>
      </c>
      <c r="C34" s="3">
        <v>19</v>
      </c>
      <c r="D34" s="3">
        <v>111</v>
      </c>
      <c r="E34" s="3">
        <v>1</v>
      </c>
      <c r="F34" s="6">
        <f>_xlfn.XLOOKUP(D34, Products!A:A,Products!E:E, )</f>
        <v>400</v>
      </c>
      <c r="G34" s="5">
        <f t="shared" si="0"/>
        <v>400</v>
      </c>
      <c r="H34" s="3" t="str">
        <f>_xlfn.XLOOKUP(C34,Customers!A:A,Customers!B:B)</f>
        <v xml:space="preserve"> Ibrahim Tarek</v>
      </c>
      <c r="I34" s="3" t="str">
        <f>_xlfn.XLOOKUP(D34,Products!A:A,Products!B:B)</f>
        <v>XPG GAMMIX S60 Gen 4 NVME M.2 - Black - 512gb</v>
      </c>
    </row>
    <row r="35" spans="1:9" x14ac:dyDescent="0.25">
      <c r="A35" s="3">
        <v>1034</v>
      </c>
      <c r="B35" s="2">
        <v>45927</v>
      </c>
      <c r="C35" s="3">
        <v>20</v>
      </c>
      <c r="D35" s="3">
        <v>128</v>
      </c>
      <c r="E35" s="3">
        <v>1</v>
      </c>
      <c r="F35" s="6">
        <f>_xlfn.XLOOKUP(D35, Products!A:A,Products!E:E, )</f>
        <v>300</v>
      </c>
      <c r="G35" s="5">
        <f t="shared" si="0"/>
        <v>300</v>
      </c>
      <c r="H35" s="3" t="str">
        <f>_xlfn.XLOOKUP(C35,Customers!A:A,Customers!B:B)</f>
        <v xml:space="preserve"> Noura Majed</v>
      </c>
      <c r="I35" s="3" t="str">
        <f>_xlfn.XLOOKUP(D35,Products!A:A,Products!B:B)</f>
        <v>Crucial P3 Plus 500GB</v>
      </c>
    </row>
    <row r="36" spans="1:9" x14ac:dyDescent="0.25">
      <c r="A36" s="3">
        <v>1035</v>
      </c>
      <c r="B36" s="2">
        <v>45927</v>
      </c>
      <c r="C36" s="3">
        <v>15</v>
      </c>
      <c r="D36" s="3">
        <v>112</v>
      </c>
      <c r="E36" s="3">
        <v>2</v>
      </c>
      <c r="F36" s="6">
        <f>_xlfn.XLOOKUP(D36, Products!A:A,Products!E:E, )</f>
        <v>650</v>
      </c>
      <c r="G36" s="5">
        <f t="shared" si="0"/>
        <v>1300</v>
      </c>
      <c r="H36" s="3" t="str">
        <f>_xlfn.XLOOKUP(C36,Customers!A:A,Customers!B:B)</f>
        <v xml:space="preserve"> Abdullah Sami</v>
      </c>
      <c r="I36" s="3" t="str">
        <f>_xlfn.XLOOKUP(D36,Products!A:A,Products!B:B)</f>
        <v>Crucial E100 Gen4 NVMe M.2 - Black - 1TB</v>
      </c>
    </row>
    <row r="37" spans="1:9" x14ac:dyDescent="0.25">
      <c r="A37" s="3">
        <v>1036</v>
      </c>
      <c r="B37" s="2">
        <v>45928</v>
      </c>
      <c r="C37" s="3">
        <v>2</v>
      </c>
      <c r="D37" s="3">
        <v>106</v>
      </c>
      <c r="E37" s="3">
        <v>2</v>
      </c>
      <c r="F37" s="6">
        <f>_xlfn.XLOOKUP(D37, Products!A:A,Products!E:E, )</f>
        <v>800</v>
      </c>
      <c r="G37" s="5">
        <f t="shared" si="0"/>
        <v>1600</v>
      </c>
      <c r="H37" s="3" t="str">
        <f>_xlfn.XLOOKUP(C37,Customers!A:A,Customers!B:B)</f>
        <v>Mona Salah</v>
      </c>
      <c r="I37" s="3" t="str">
        <f>_xlfn.XLOOKUP(D37,Products!A:A,Products!B:B)</f>
        <v>Mouse_razer basilisk v3</v>
      </c>
    </row>
    <row r="38" spans="1:9" x14ac:dyDescent="0.25">
      <c r="A38" s="3">
        <v>1037</v>
      </c>
      <c r="B38" s="2">
        <v>45928</v>
      </c>
      <c r="C38" s="3">
        <v>4</v>
      </c>
      <c r="D38" s="3">
        <v>106</v>
      </c>
      <c r="E38" s="3">
        <v>1</v>
      </c>
      <c r="F38" s="6">
        <f>_xlfn.XLOOKUP(D38, Products!A:A,Products!E:E, )</f>
        <v>800</v>
      </c>
      <c r="G38" s="5">
        <f t="shared" si="0"/>
        <v>800</v>
      </c>
      <c r="H38" s="3" t="str">
        <f>_xlfn.XLOOKUP(C38,Customers!A:A,Customers!B:B)</f>
        <v xml:space="preserve"> Sara Khalid</v>
      </c>
      <c r="I38" s="3" t="str">
        <f>_xlfn.XLOOKUP(D38,Products!A:A,Products!B:B)</f>
        <v>Mouse_razer basilisk v3</v>
      </c>
    </row>
    <row r="39" spans="1:9" x14ac:dyDescent="0.25">
      <c r="A39" s="3">
        <v>1038</v>
      </c>
      <c r="B39" s="2">
        <v>45929</v>
      </c>
      <c r="C39" s="3">
        <v>8</v>
      </c>
      <c r="D39" s="3">
        <v>129</v>
      </c>
      <c r="E39" s="3">
        <v>2</v>
      </c>
      <c r="F39" s="6">
        <f>_xlfn.XLOOKUP(D39, Products!A:A,Products!E:E, )</f>
        <v>1000</v>
      </c>
      <c r="G39" s="5">
        <f t="shared" si="0"/>
        <v>2000</v>
      </c>
      <c r="H39" s="3" t="str">
        <f>_xlfn.XLOOKUP(C39,Customers!A:A,Customers!B:B)</f>
        <v xml:space="preserve"> Aisha Saeed</v>
      </c>
      <c r="I39" s="3" t="str">
        <f>_xlfn.XLOOKUP(D39,Products!A:A,Products!B:B)</f>
        <v>XPG GAMMIX S70 Blade Gen4 2TB</v>
      </c>
    </row>
    <row r="40" spans="1:9" x14ac:dyDescent="0.25">
      <c r="A40" s="3">
        <v>1039</v>
      </c>
      <c r="B40" s="2">
        <v>45930</v>
      </c>
      <c r="C40" s="3">
        <v>20</v>
      </c>
      <c r="D40" s="3">
        <v>111</v>
      </c>
      <c r="E40" s="3">
        <v>1</v>
      </c>
      <c r="F40" s="6">
        <f>_xlfn.XLOOKUP(D40, Products!A:A,Products!E:E, )</f>
        <v>400</v>
      </c>
      <c r="G40" s="5">
        <f t="shared" si="0"/>
        <v>400</v>
      </c>
      <c r="H40" s="3" t="str">
        <f>_xlfn.XLOOKUP(C40,Customers!A:A,Customers!B:B)</f>
        <v xml:space="preserve"> Noura Majed</v>
      </c>
      <c r="I40" s="3" t="str">
        <f>_xlfn.XLOOKUP(D40,Products!A:A,Products!B:B)</f>
        <v>XPG GAMMIX S60 Gen 4 NVME M.2 - Black - 512gb</v>
      </c>
    </row>
    <row r="41" spans="1:9" x14ac:dyDescent="0.25">
      <c r="A41" s="3">
        <v>1040</v>
      </c>
      <c r="B41" s="2">
        <v>45931</v>
      </c>
      <c r="C41" s="3">
        <v>21</v>
      </c>
      <c r="D41" s="3">
        <v>127</v>
      </c>
      <c r="E41" s="3">
        <v>2</v>
      </c>
      <c r="F41" s="6">
        <f>_xlfn.XLOOKUP(D41, Products!A:A,Products!E:E, )</f>
        <v>700</v>
      </c>
      <c r="G41" s="5">
        <f t="shared" si="0"/>
        <v>1400</v>
      </c>
      <c r="H41" s="3" t="str">
        <f>_xlfn.XLOOKUP(C41,Customers!A:A,Customers!B:B)</f>
        <v xml:space="preserve"> Hassan Ali</v>
      </c>
      <c r="I41" s="3" t="str">
        <f>_xlfn.XLOOKUP(D41,Products!A:A,Products!B:B)</f>
        <v>Samsung 990 EVO PLUS 1TB NVMe</v>
      </c>
    </row>
    <row r="42" spans="1:9" x14ac:dyDescent="0.25">
      <c r="A42" s="3">
        <v>1041</v>
      </c>
      <c r="B42" s="2">
        <v>45932</v>
      </c>
      <c r="C42" s="3">
        <v>22</v>
      </c>
      <c r="D42" s="3">
        <v>111</v>
      </c>
      <c r="E42" s="3">
        <v>1</v>
      </c>
      <c r="F42" s="6">
        <f>_xlfn.XLOOKUP(D42, Products!A:A,Products!E:E, )</f>
        <v>400</v>
      </c>
      <c r="G42" s="5">
        <f t="shared" si="0"/>
        <v>400</v>
      </c>
      <c r="H42" s="3" t="str">
        <f>_xlfn.XLOOKUP(C42,Customers!A:A,Customers!B:B)</f>
        <v xml:space="preserve"> Rania Sultan</v>
      </c>
      <c r="I42" s="3" t="str">
        <f>_xlfn.XLOOKUP(D42,Products!A:A,Products!B:B)</f>
        <v>XPG GAMMIX S60 Gen 4 NVME M.2 - Black - 512gb</v>
      </c>
    </row>
    <row r="43" spans="1:9" x14ac:dyDescent="0.25">
      <c r="A43" s="3">
        <v>1042</v>
      </c>
      <c r="B43" s="2">
        <v>45933</v>
      </c>
      <c r="C43" s="3">
        <v>16</v>
      </c>
      <c r="D43" s="3">
        <v>114</v>
      </c>
      <c r="E43" s="3">
        <v>2</v>
      </c>
      <c r="F43" s="6">
        <f>_xlfn.XLOOKUP(D43, Products!A:A,Products!E:E, )</f>
        <v>1800</v>
      </c>
      <c r="G43" s="5">
        <f t="shared" si="0"/>
        <v>3600</v>
      </c>
      <c r="H43" s="3" t="str">
        <f>_xlfn.XLOOKUP(C43,Customers!A:A,Customers!B:B)</f>
        <v xml:space="preserve"> Maha Yasin</v>
      </c>
      <c r="I43" s="3" t="str">
        <f>_xlfn.XLOOKUP(D43,Products!A:A,Products!B:B)</f>
        <v>Palit GeForce RTX 5060 Infinity</v>
      </c>
    </row>
    <row r="44" spans="1:9" x14ac:dyDescent="0.25">
      <c r="A44" s="3">
        <v>1043</v>
      </c>
      <c r="B44" s="2">
        <v>45933</v>
      </c>
      <c r="C44" s="3">
        <v>23</v>
      </c>
      <c r="D44" s="3">
        <v>141</v>
      </c>
      <c r="E44" s="3">
        <v>1</v>
      </c>
      <c r="F44" s="6">
        <f>_xlfn.XLOOKUP(D44, Products!A:A,Products!E:E, )</f>
        <v>400</v>
      </c>
      <c r="G44" s="5">
        <f t="shared" si="0"/>
        <v>400</v>
      </c>
      <c r="H44" s="3" t="str">
        <f>_xlfn.XLOOKUP(C44,Customers!A:A,Customers!B:B)</f>
        <v xml:space="preserve"> Saad Mutlaq</v>
      </c>
      <c r="I44" s="3" t="str">
        <f>_xlfn.XLOOKUP(D44,Products!A:A,Products!B:B)</f>
        <v>Seagate Barracuda 2TB HDD</v>
      </c>
    </row>
    <row r="45" spans="1:9" x14ac:dyDescent="0.25">
      <c r="A45" s="3">
        <v>1044</v>
      </c>
      <c r="B45" s="2">
        <v>45933</v>
      </c>
      <c r="C45" s="3">
        <v>24</v>
      </c>
      <c r="D45" s="3">
        <v>147</v>
      </c>
      <c r="E45" s="3">
        <v>1</v>
      </c>
      <c r="F45" s="6">
        <f>_xlfn.XLOOKUP(D45, Products!A:A,Products!E:E, )</f>
        <v>1900</v>
      </c>
      <c r="G45" s="5">
        <f t="shared" si="0"/>
        <v>1900</v>
      </c>
      <c r="H45" s="3" t="str">
        <f>_xlfn.XLOOKUP(C45,Customers!A:A,Customers!B:B)</f>
        <v xml:space="preserve"> Mona Hisham</v>
      </c>
      <c r="I45" s="3" t="str">
        <f>_xlfn.XLOOKUP(D45,Products!A:A,Products!B:B)</f>
        <v>ASUS TUF Gaming VG27AQ 165Hz</v>
      </c>
    </row>
    <row r="46" spans="1:9" x14ac:dyDescent="0.25">
      <c r="A46" s="3">
        <v>1045</v>
      </c>
      <c r="B46" s="2">
        <v>45933</v>
      </c>
      <c r="C46" s="3">
        <v>25</v>
      </c>
      <c r="D46" s="3">
        <v>118</v>
      </c>
      <c r="E46" s="3">
        <v>2</v>
      </c>
      <c r="F46" s="6">
        <f>_xlfn.XLOOKUP(D46, Products!A:A,Products!E:E, )</f>
        <v>1000</v>
      </c>
      <c r="G46" s="5">
        <f t="shared" si="0"/>
        <v>2000</v>
      </c>
      <c r="H46" s="3" t="str">
        <f>_xlfn.XLOOKUP(C46,Customers!A:A,Customers!B:B)</f>
        <v xml:space="preserve"> Talal Nawaf</v>
      </c>
      <c r="I46" s="3" t="str">
        <f>_xlfn.XLOOKUP(D46,Products!A:A,Products!B:B)</f>
        <v>Intel Core Ultra 5 245K CPU</v>
      </c>
    </row>
    <row r="47" spans="1:9" x14ac:dyDescent="0.25">
      <c r="A47" s="3">
        <v>1046</v>
      </c>
      <c r="B47" s="2">
        <v>45933</v>
      </c>
      <c r="C47" s="3">
        <v>26</v>
      </c>
      <c r="D47" s="3">
        <v>139</v>
      </c>
      <c r="E47" s="3">
        <v>1</v>
      </c>
      <c r="F47" s="6">
        <f>_xlfn.XLOOKUP(D47, Products!A:A,Products!E:E, )</f>
        <v>1500</v>
      </c>
      <c r="G47" s="5">
        <f t="shared" si="0"/>
        <v>1500</v>
      </c>
      <c r="H47" s="3" t="str">
        <f>_xlfn.XLOOKUP(C47,Customers!A:A,Customers!B:B)</f>
        <v xml:space="preserve"> Aya Mahmoud</v>
      </c>
      <c r="I47" s="3" t="str">
        <f>_xlfn.XLOOKUP(D47,Products!A:A,Products!B:B)</f>
        <v>Kingston_FURY Beast 16GB DDR5</v>
      </c>
    </row>
    <row r="48" spans="1:9" x14ac:dyDescent="0.25">
      <c r="A48" s="3">
        <v>1047</v>
      </c>
      <c r="B48" s="2">
        <v>45933</v>
      </c>
      <c r="C48" s="3">
        <v>28</v>
      </c>
      <c r="D48" s="3">
        <v>109</v>
      </c>
      <c r="E48" s="3">
        <v>1</v>
      </c>
      <c r="F48" s="6">
        <f>_xlfn.XLOOKUP(D48, Products!A:A,Products!E:E, )</f>
        <v>1600</v>
      </c>
      <c r="G48" s="5">
        <f t="shared" si="0"/>
        <v>1600</v>
      </c>
      <c r="H48" s="3" t="str">
        <f>_xlfn.XLOOKUP(C48,Customers!A:A,Customers!B:B)</f>
        <v xml:space="preserve"> Laila Qasim</v>
      </c>
      <c r="I48" s="3" t="str">
        <f>_xlfn.XLOOKUP(D48,Products!A:A,Products!B:B)</f>
        <v>Xbox_One</v>
      </c>
    </row>
    <row r="49" spans="1:9" x14ac:dyDescent="0.25">
      <c r="A49" s="3">
        <v>1048</v>
      </c>
      <c r="B49" s="2">
        <v>45934</v>
      </c>
      <c r="C49" s="3">
        <v>29</v>
      </c>
      <c r="D49" s="3">
        <v>125</v>
      </c>
      <c r="E49" s="3">
        <v>1</v>
      </c>
      <c r="F49" s="6">
        <f>_xlfn.XLOOKUP(D49, Products!A:A,Products!E:E, )</f>
        <v>300</v>
      </c>
      <c r="G49" s="5">
        <f t="shared" si="0"/>
        <v>300</v>
      </c>
      <c r="H49" s="3" t="str">
        <f>_xlfn.XLOOKUP(C49,Customers!A:A,Customers!B:B)</f>
        <v xml:space="preserve"> Fahad Turki</v>
      </c>
      <c r="I49" s="3" t="str">
        <f>_xlfn.XLOOKUP(D49,Products!A:A,Products!B:B)</f>
        <v>Logitech MX Master 3S Mouse</v>
      </c>
    </row>
    <row r="50" spans="1:9" x14ac:dyDescent="0.25">
      <c r="A50" s="3">
        <v>1049</v>
      </c>
      <c r="B50" s="2">
        <v>45934</v>
      </c>
      <c r="C50" s="3">
        <v>3</v>
      </c>
      <c r="D50" s="3">
        <v>140</v>
      </c>
      <c r="E50" s="3">
        <v>1</v>
      </c>
      <c r="F50" s="6">
        <f>_xlfn.XLOOKUP(D50, Products!A:A,Products!E:E, )</f>
        <v>500</v>
      </c>
      <c r="G50" s="5">
        <f t="shared" si="0"/>
        <v>500</v>
      </c>
      <c r="H50" s="3" t="str">
        <f>_xlfn.XLOOKUP(C50,Customers!A:A,Customers!B:B)</f>
        <v>Turky Abdullah</v>
      </c>
      <c r="I50" s="3" t="str">
        <f>_xlfn.XLOOKUP(D50,Products!A:A,Products!B:B)</f>
        <v>WD Black SN850X 1TB</v>
      </c>
    </row>
    <row r="51" spans="1:9" x14ac:dyDescent="0.25">
      <c r="A51" s="3">
        <v>1050</v>
      </c>
      <c r="B51" s="2">
        <v>45934</v>
      </c>
      <c r="C51" s="3">
        <v>15</v>
      </c>
      <c r="D51" s="3">
        <v>140</v>
      </c>
      <c r="E51" s="3">
        <v>1</v>
      </c>
      <c r="F51" s="6">
        <f>_xlfn.XLOOKUP(D51, Products!A:A,Products!E:E, )</f>
        <v>500</v>
      </c>
      <c r="G51" s="5">
        <f t="shared" si="0"/>
        <v>500</v>
      </c>
      <c r="H51" s="3" t="str">
        <f>_xlfn.XLOOKUP(C51,Customers!A:A,Customers!B:B)</f>
        <v xml:space="preserve"> Abdullah Sami</v>
      </c>
      <c r="I51" s="3" t="str">
        <f>_xlfn.XLOOKUP(D51,Products!A:A,Products!B:B)</f>
        <v>WD Black SN850X 1TB</v>
      </c>
    </row>
    <row r="52" spans="1:9" x14ac:dyDescent="0.25">
      <c r="A52" s="3">
        <v>1051</v>
      </c>
      <c r="B52" s="2">
        <v>45934</v>
      </c>
      <c r="C52" s="3">
        <v>9</v>
      </c>
      <c r="D52" s="3">
        <v>127</v>
      </c>
      <c r="E52" s="3">
        <v>2</v>
      </c>
      <c r="F52" s="6">
        <f>_xlfn.XLOOKUP(D52, Products!A:A,Products!E:E, )</f>
        <v>700</v>
      </c>
      <c r="G52" s="5">
        <f t="shared" si="0"/>
        <v>1400</v>
      </c>
      <c r="H52" s="3" t="str">
        <f>_xlfn.XLOOKUP(C52,Customers!A:A,Customers!B:B)</f>
        <v xml:space="preserve"> Khaled Ibrahim</v>
      </c>
      <c r="I52" s="3" t="str">
        <f>_xlfn.XLOOKUP(D52,Products!A:A,Products!B:B)</f>
        <v>Samsung 990 EVO PLUS 1TB NVMe</v>
      </c>
    </row>
    <row r="53" spans="1:9" x14ac:dyDescent="0.25">
      <c r="A53" s="3">
        <v>1052</v>
      </c>
      <c r="B53" s="2">
        <v>45934</v>
      </c>
      <c r="C53" s="3">
        <v>3</v>
      </c>
      <c r="D53" s="3">
        <v>147</v>
      </c>
      <c r="E53" s="3">
        <v>1</v>
      </c>
      <c r="F53" s="6">
        <f>_xlfn.XLOOKUP(D53, Products!A:A,Products!E:E, )</f>
        <v>1900</v>
      </c>
      <c r="G53" s="5">
        <f t="shared" si="0"/>
        <v>1900</v>
      </c>
      <c r="H53" s="3" t="str">
        <f>_xlfn.XLOOKUP(C53,Customers!A:A,Customers!B:B)</f>
        <v>Turky Abdullah</v>
      </c>
      <c r="I53" s="3" t="str">
        <f>_xlfn.XLOOKUP(D53,Products!A:A,Products!B:B)</f>
        <v>ASUS TUF Gaming VG27AQ 165Hz</v>
      </c>
    </row>
    <row r="54" spans="1:9" x14ac:dyDescent="0.25">
      <c r="A54" s="3">
        <v>1053</v>
      </c>
      <c r="B54" s="2">
        <v>45934</v>
      </c>
      <c r="C54" s="3">
        <v>1</v>
      </c>
      <c r="D54" s="3">
        <v>138</v>
      </c>
      <c r="E54" s="3">
        <v>1</v>
      </c>
      <c r="F54" s="6">
        <f>_xlfn.XLOOKUP(D54, Products!A:A,Products!E:E, )</f>
        <v>1700</v>
      </c>
      <c r="G54" s="5">
        <f t="shared" si="0"/>
        <v>1700</v>
      </c>
      <c r="H54" s="3" t="str">
        <f>_xlfn.XLOOKUP(C54,Customers!A:A,Customers!B:B)</f>
        <v>Mohammed Ali</v>
      </c>
      <c r="I54" s="3" t="str">
        <f>_xlfn.XLOOKUP(D54,Products!A:A,Products!B:B)</f>
        <v>Corsair Vengeance LPX 32GB DDR4</v>
      </c>
    </row>
    <row r="55" spans="1:9" x14ac:dyDescent="0.25">
      <c r="A55" s="3">
        <v>1054</v>
      </c>
      <c r="B55" s="2">
        <v>45935</v>
      </c>
      <c r="C55" s="3">
        <v>20</v>
      </c>
      <c r="D55" s="3">
        <v>144</v>
      </c>
      <c r="E55" s="3">
        <v>1</v>
      </c>
      <c r="F55" s="6">
        <f>_xlfn.XLOOKUP(D55, Products!A:A,Products!E:E, )</f>
        <v>1600</v>
      </c>
      <c r="G55" s="5">
        <f t="shared" si="0"/>
        <v>1600</v>
      </c>
      <c r="H55" s="3" t="str">
        <f>_xlfn.XLOOKUP(C55,Customers!A:A,Customers!B:B)</f>
        <v xml:space="preserve"> Noura Majed</v>
      </c>
      <c r="I55" s="3" t="str">
        <f>_xlfn.XLOOKUP(D55,Products!A:A,Products!B:B)</f>
        <v>Dell UltraSharp U2723QE Monitor</v>
      </c>
    </row>
    <row r="56" spans="1:9" x14ac:dyDescent="0.25">
      <c r="A56" s="3">
        <v>1055</v>
      </c>
      <c r="B56" s="2">
        <v>45935</v>
      </c>
      <c r="C56" s="3">
        <v>16</v>
      </c>
      <c r="D56" s="3">
        <v>117</v>
      </c>
      <c r="E56" s="3">
        <v>1</v>
      </c>
      <c r="F56" s="6">
        <f>_xlfn.XLOOKUP(D56, Products!A:A,Products!E:E, )</f>
        <v>900</v>
      </c>
      <c r="G56" s="5">
        <f t="shared" si="0"/>
        <v>900</v>
      </c>
      <c r="H56" s="3" t="str">
        <f>_xlfn.XLOOKUP(C56,Customers!A:A,Customers!B:B)</f>
        <v xml:space="preserve"> Maha Yasin</v>
      </c>
      <c r="I56" s="3" t="str">
        <f>_xlfn.XLOOKUP(D56,Products!A:A,Products!B:B)</f>
        <v>MSI GeForce RTX 3050</v>
      </c>
    </row>
    <row r="57" spans="1:9" x14ac:dyDescent="0.25">
      <c r="A57" s="3">
        <v>1056</v>
      </c>
      <c r="B57" s="2">
        <v>45935</v>
      </c>
      <c r="C57" s="3">
        <v>5</v>
      </c>
      <c r="D57" s="3">
        <v>122</v>
      </c>
      <c r="E57" s="3">
        <v>2</v>
      </c>
      <c r="F57" s="6">
        <f>_xlfn.XLOOKUP(D57, Products!A:A,Products!E:E, )</f>
        <v>1000</v>
      </c>
      <c r="G57" s="5">
        <f t="shared" si="0"/>
        <v>2000</v>
      </c>
      <c r="H57" s="3" t="str">
        <f>_xlfn.XLOOKUP(C57,Customers!A:A,Customers!B:B)</f>
        <v xml:space="preserve"> Omar Hassan</v>
      </c>
      <c r="I57" s="3" t="str">
        <f>_xlfn.XLOOKUP(D57,Products!A:A,Products!B:B)</f>
        <v>AMD Ryzen 5 7600x CPU</v>
      </c>
    </row>
    <row r="58" spans="1:9" x14ac:dyDescent="0.25">
      <c r="A58" s="3">
        <v>1057</v>
      </c>
      <c r="B58" s="2">
        <v>45935</v>
      </c>
      <c r="C58" s="3">
        <v>4</v>
      </c>
      <c r="D58" s="3">
        <v>120</v>
      </c>
      <c r="E58" s="3">
        <v>1</v>
      </c>
      <c r="F58" s="6">
        <f>_xlfn.XLOOKUP(D58, Products!A:A,Products!E:E, )</f>
        <v>2000</v>
      </c>
      <c r="G58" s="5">
        <f t="shared" si="0"/>
        <v>2000</v>
      </c>
      <c r="H58" s="3" t="str">
        <f>_xlfn.XLOOKUP(C58,Customers!A:A,Customers!B:B)</f>
        <v xml:space="preserve"> Sara Khalid</v>
      </c>
      <c r="I58" s="3" t="str">
        <f>_xlfn.XLOOKUP(D58,Products!A:A,Products!B:B)</f>
        <v>Intel Core i9-13900 CPU</v>
      </c>
    </row>
    <row r="59" spans="1:9" x14ac:dyDescent="0.25">
      <c r="A59" s="3">
        <v>1058</v>
      </c>
      <c r="B59" s="2">
        <v>45935</v>
      </c>
      <c r="C59" s="3">
        <v>20</v>
      </c>
      <c r="D59" s="3">
        <v>142</v>
      </c>
      <c r="E59" s="3">
        <v>2</v>
      </c>
      <c r="F59" s="6">
        <f>_xlfn.XLOOKUP(D59, Products!A:A,Products!E:E, )</f>
        <v>500</v>
      </c>
      <c r="G59" s="5">
        <f t="shared" si="0"/>
        <v>1000</v>
      </c>
      <c r="H59" s="3" t="str">
        <f>_xlfn.XLOOKUP(C59,Customers!A:A,Customers!B:B)</f>
        <v xml:space="preserve"> Noura Majed</v>
      </c>
      <c r="I59" s="3" t="str">
        <f>_xlfn.XLOOKUP(D59,Products!A:A,Products!B:B)</f>
        <v>Apple Magic Keyboard</v>
      </c>
    </row>
    <row r="60" spans="1:9" x14ac:dyDescent="0.25">
      <c r="A60" s="3">
        <v>1059</v>
      </c>
      <c r="B60" s="2">
        <v>45936</v>
      </c>
      <c r="C60" s="3">
        <v>27</v>
      </c>
      <c r="D60" s="3">
        <v>126</v>
      </c>
      <c r="E60" s="3">
        <v>2</v>
      </c>
      <c r="F60" s="6">
        <f>_xlfn.XLOOKUP(D60, Products!A:A,Products!E:E, )</f>
        <v>280</v>
      </c>
      <c r="G60" s="5">
        <f t="shared" si="0"/>
        <v>560</v>
      </c>
      <c r="H60" s="3" t="str">
        <f>_xlfn.XLOOKUP(C60,Customers!A:A,Customers!B:B)</f>
        <v xml:space="preserve"> Zaid Omar</v>
      </c>
      <c r="I60" s="3" t="str">
        <f>_xlfn.XLOOKUP(D60,Products!A:A,Products!B:B)</f>
        <v>Red-dragon K552 Mechanical Keyboard</v>
      </c>
    </row>
    <row r="61" spans="1:9" x14ac:dyDescent="0.25">
      <c r="A61" s="3">
        <v>1060</v>
      </c>
      <c r="B61" s="2">
        <v>45936</v>
      </c>
      <c r="C61" s="3">
        <v>24</v>
      </c>
      <c r="D61" s="3">
        <v>133</v>
      </c>
      <c r="E61" s="3">
        <v>1</v>
      </c>
      <c r="F61" s="6">
        <f>_xlfn.XLOOKUP(D61, Products!A:A,Products!E:E, )</f>
        <v>2200</v>
      </c>
      <c r="G61" s="5">
        <f t="shared" si="0"/>
        <v>2200</v>
      </c>
      <c r="H61" s="3" t="str">
        <f>_xlfn.XLOOKUP(C61,Customers!A:A,Customers!B:B)</f>
        <v xml:space="preserve"> Mona Hisham</v>
      </c>
      <c r="I61" s="3" t="str">
        <f>_xlfn.XLOOKUP(D61,Products!A:A,Products!B:B)</f>
        <v>AMD Ryzen 9 7950X3D</v>
      </c>
    </row>
    <row r="62" spans="1:9" x14ac:dyDescent="0.25">
      <c r="A62" s="3">
        <v>1061</v>
      </c>
      <c r="B62" s="2">
        <v>45936</v>
      </c>
      <c r="C62" s="3">
        <v>19</v>
      </c>
      <c r="D62" s="3">
        <v>113</v>
      </c>
      <c r="E62" s="3">
        <v>1</v>
      </c>
      <c r="F62" s="6">
        <f>_xlfn.XLOOKUP(D62, Products!A:A,Products!E:E, )</f>
        <v>800</v>
      </c>
      <c r="G62" s="5">
        <f t="shared" si="0"/>
        <v>800</v>
      </c>
      <c r="H62" s="3" t="str">
        <f>_xlfn.XLOOKUP(C62,Customers!A:A,Customers!B:B)</f>
        <v xml:space="preserve"> Ibrahim Tarek</v>
      </c>
      <c r="I62" s="3" t="str">
        <f>_xlfn.XLOOKUP(D62,Products!A:A,Products!B:B)</f>
        <v>Samsung 990 EVO PLUS PCIe 4.0 NVMe M.2 - 1TB</v>
      </c>
    </row>
    <row r="63" spans="1:9" x14ac:dyDescent="0.25">
      <c r="A63" s="3">
        <v>1062</v>
      </c>
      <c r="B63" s="2">
        <v>45937</v>
      </c>
      <c r="C63" s="3">
        <v>31</v>
      </c>
      <c r="D63" s="3">
        <v>118</v>
      </c>
      <c r="E63" s="3">
        <v>1</v>
      </c>
      <c r="F63" s="6">
        <f>_xlfn.XLOOKUP(D63, Products!A:A,Products!E:E, )</f>
        <v>1000</v>
      </c>
      <c r="G63" s="5">
        <f t="shared" si="0"/>
        <v>1000</v>
      </c>
      <c r="H63" s="3" t="str">
        <f>_xlfn.XLOOKUP(C63,Customers!A:A,Customers!B:B)</f>
        <v xml:space="preserve"> Mohammed Aziz</v>
      </c>
      <c r="I63" s="3" t="str">
        <f>_xlfn.XLOOKUP(D63,Products!A:A,Products!B:B)</f>
        <v>Intel Core Ultra 5 245K CPU</v>
      </c>
    </row>
    <row r="64" spans="1:9" x14ac:dyDescent="0.25">
      <c r="A64" s="3">
        <v>1063</v>
      </c>
      <c r="B64" s="2">
        <v>45937</v>
      </c>
      <c r="C64" s="3">
        <v>31</v>
      </c>
      <c r="D64" s="3">
        <v>114</v>
      </c>
      <c r="E64" s="3">
        <v>1</v>
      </c>
      <c r="F64" s="6">
        <f>_xlfn.XLOOKUP(D64, Products!A:A,Products!E:E, )</f>
        <v>1800</v>
      </c>
      <c r="G64" s="5">
        <f t="shared" si="0"/>
        <v>1800</v>
      </c>
      <c r="H64" s="3" t="str">
        <f>_xlfn.XLOOKUP(C64,Customers!A:A,Customers!B:B)</f>
        <v xml:space="preserve"> Mohammed Aziz</v>
      </c>
      <c r="I64" s="3" t="str">
        <f>_xlfn.XLOOKUP(D64,Products!A:A,Products!B:B)</f>
        <v>Palit GeForce RTX 5060 Infinity</v>
      </c>
    </row>
    <row r="65" spans="1:9" x14ac:dyDescent="0.25">
      <c r="A65" s="3">
        <v>1064</v>
      </c>
      <c r="B65" s="2">
        <v>45937</v>
      </c>
      <c r="C65" s="3">
        <v>31</v>
      </c>
      <c r="D65" s="3">
        <v>144</v>
      </c>
      <c r="E65" s="3">
        <v>2</v>
      </c>
      <c r="F65" s="6">
        <f>_xlfn.XLOOKUP(D65, Products!A:A,Products!E:E, )</f>
        <v>1600</v>
      </c>
      <c r="G65" s="5">
        <f t="shared" si="0"/>
        <v>3200</v>
      </c>
      <c r="H65" s="3" t="str">
        <f>_xlfn.XLOOKUP(C65,Customers!A:A,Customers!B:B)</f>
        <v xml:space="preserve"> Mohammed Aziz</v>
      </c>
      <c r="I65" s="3" t="str">
        <f>_xlfn.XLOOKUP(D65,Products!A:A,Products!B:B)</f>
        <v>Dell UltraSharp U2723QE Monitor</v>
      </c>
    </row>
    <row r="66" spans="1:9" x14ac:dyDescent="0.25">
      <c r="A66" s="3">
        <v>1065</v>
      </c>
      <c r="B66" s="2">
        <v>45937</v>
      </c>
      <c r="C66" s="3">
        <v>32</v>
      </c>
      <c r="D66" s="3">
        <v>143</v>
      </c>
      <c r="E66" s="3">
        <v>1</v>
      </c>
      <c r="F66" s="6">
        <f>_xlfn.XLOOKUP(D66, Products!A:A,Products!E:E, )</f>
        <v>400</v>
      </c>
      <c r="G66" s="5">
        <f t="shared" ref="G66:G129" si="1">E66 *F66</f>
        <v>400</v>
      </c>
      <c r="H66" s="3" t="str">
        <f>_xlfn.XLOOKUP(C66,Customers!A:A,Customers!B:B)</f>
        <v xml:space="preserve"> Rana Bilal</v>
      </c>
      <c r="I66" s="3" t="str">
        <f>_xlfn.XLOOKUP(D66,Products!A:A,Products!B:B)</f>
        <v>HP Pavilion Gaming Mouse 300</v>
      </c>
    </row>
    <row r="67" spans="1:9" x14ac:dyDescent="0.25">
      <c r="A67" s="3">
        <v>1066</v>
      </c>
      <c r="B67" s="2">
        <v>45937</v>
      </c>
      <c r="C67" s="3">
        <v>33</v>
      </c>
      <c r="D67" s="3">
        <v>113</v>
      </c>
      <c r="E67" s="3">
        <v>2</v>
      </c>
      <c r="F67" s="6">
        <f>_xlfn.XLOOKUP(D67, Products!A:A,Products!E:E, )</f>
        <v>800</v>
      </c>
      <c r="G67" s="5">
        <f t="shared" si="1"/>
        <v>1600</v>
      </c>
      <c r="H67" s="3" t="str">
        <f>_xlfn.XLOOKUP(C67,Customers!A:A,Customers!B:B)</f>
        <v xml:space="preserve"> Nawaf Abdullah</v>
      </c>
      <c r="I67" s="3" t="str">
        <f>_xlfn.XLOOKUP(D67,Products!A:A,Products!B:B)</f>
        <v>Samsung 990 EVO PLUS PCIe 4.0 NVMe M.2 - 1TB</v>
      </c>
    </row>
    <row r="68" spans="1:9" x14ac:dyDescent="0.25">
      <c r="A68" s="3">
        <v>1067</v>
      </c>
      <c r="B68" s="2">
        <v>45937</v>
      </c>
      <c r="C68" s="3">
        <v>34</v>
      </c>
      <c r="D68" s="3">
        <v>100</v>
      </c>
      <c r="E68" s="3">
        <v>1</v>
      </c>
      <c r="F68" s="6">
        <f>_xlfn.XLOOKUP(D68, Products!A:A,Products!E:E, )</f>
        <v>1000</v>
      </c>
      <c r="G68" s="5">
        <f t="shared" si="1"/>
        <v>1000</v>
      </c>
      <c r="H68" s="3" t="str">
        <f>_xlfn.XLOOKUP(C68,Customers!A:A,Customers!B:B)</f>
        <v xml:space="preserve"> Fatimah Kareem</v>
      </c>
      <c r="I68" s="3" t="str">
        <f>_xlfn.XLOOKUP(D68,Products!A:A,Products!B:B)</f>
        <v>SteelSeries Arctis 7</v>
      </c>
    </row>
    <row r="69" spans="1:9" x14ac:dyDescent="0.25">
      <c r="A69" s="3">
        <v>1068</v>
      </c>
      <c r="B69" s="2">
        <v>45937</v>
      </c>
      <c r="C69" s="3">
        <v>8</v>
      </c>
      <c r="D69" s="3">
        <v>114</v>
      </c>
      <c r="E69" s="3">
        <v>1</v>
      </c>
      <c r="F69" s="6">
        <f>_xlfn.XLOOKUP(D69, Products!A:A,Products!E:E, )</f>
        <v>1800</v>
      </c>
      <c r="G69" s="5">
        <f t="shared" si="1"/>
        <v>1800</v>
      </c>
      <c r="H69" s="3" t="str">
        <f>_xlfn.XLOOKUP(C69,Customers!A:A,Customers!B:B)</f>
        <v xml:space="preserve"> Aisha Saeed</v>
      </c>
      <c r="I69" s="3" t="str">
        <f>_xlfn.XLOOKUP(D69,Products!A:A,Products!B:B)</f>
        <v>Palit GeForce RTX 5060 Infinity</v>
      </c>
    </row>
    <row r="70" spans="1:9" x14ac:dyDescent="0.25">
      <c r="A70" s="3">
        <v>1069</v>
      </c>
      <c r="B70" s="2">
        <v>45938</v>
      </c>
      <c r="C70" s="3">
        <v>35</v>
      </c>
      <c r="D70" s="3">
        <v>124</v>
      </c>
      <c r="E70" s="3">
        <v>1</v>
      </c>
      <c r="F70" s="6">
        <f>_xlfn.XLOOKUP(D70, Products!A:A,Products!E:E, )</f>
        <v>3300</v>
      </c>
      <c r="G70" s="5">
        <f t="shared" si="1"/>
        <v>3300</v>
      </c>
      <c r="H70" s="3" t="str">
        <f>_xlfn.XLOOKUP(C70,Customers!A:A,Customers!B:B)</f>
        <v xml:space="preserve"> Bandar Saleh</v>
      </c>
      <c r="I70" s="3" t="str">
        <f>_xlfn.XLOOKUP(D70,Products!A:A,Products!B:B)</f>
        <v>AMD Ryzen 9 9950X3D CPU</v>
      </c>
    </row>
    <row r="71" spans="1:9" x14ac:dyDescent="0.25">
      <c r="A71" s="3">
        <v>1070</v>
      </c>
      <c r="B71" s="2">
        <v>45938</v>
      </c>
      <c r="C71" s="3">
        <v>36</v>
      </c>
      <c r="D71" s="3">
        <v>116</v>
      </c>
      <c r="E71" s="3">
        <v>2</v>
      </c>
      <c r="F71" s="6">
        <f>_xlfn.XLOOKUP(D71, Products!A:A,Products!E:E, )</f>
        <v>2002</v>
      </c>
      <c r="G71" s="5">
        <f t="shared" si="1"/>
        <v>4004</v>
      </c>
      <c r="H71" s="3" t="str">
        <f>_xlfn.XLOOKUP(C71,Customers!A:A,Customers!B:B)</f>
        <v xml:space="preserve"> Eman Samir</v>
      </c>
      <c r="I71" s="3" t="str">
        <f>_xlfn.XLOOKUP(D71,Products!A:A,Products!B:B)</f>
        <v>PNY GeForce RTX 5060 Ti ARGB OC Triple Fan</v>
      </c>
    </row>
    <row r="72" spans="1:9" x14ac:dyDescent="0.25">
      <c r="A72" s="3">
        <v>1071</v>
      </c>
      <c r="B72" s="2">
        <v>45938</v>
      </c>
      <c r="C72" s="3">
        <v>37</v>
      </c>
      <c r="D72" s="3">
        <v>104</v>
      </c>
      <c r="E72" s="3">
        <v>1</v>
      </c>
      <c r="F72" s="6">
        <f>_xlfn.XLOOKUP(D72, Products!A:A,Products!E:E, )</f>
        <v>500</v>
      </c>
      <c r="G72" s="5">
        <f t="shared" si="1"/>
        <v>500</v>
      </c>
      <c r="H72" s="3" t="str">
        <f>_xlfn.XLOOKUP(C72,Customers!A:A,Customers!B:B)</f>
        <v xml:space="preserve"> Abdulaziz Khalaf</v>
      </c>
      <c r="I72" s="3" t="str">
        <f>_xlfn.XLOOKUP(D72,Products!A:A,Products!B:B)</f>
        <v>Kayboard_Razer_Tartrus</v>
      </c>
    </row>
    <row r="73" spans="1:9" x14ac:dyDescent="0.25">
      <c r="A73" s="3">
        <v>1072</v>
      </c>
      <c r="B73" s="2">
        <v>45938</v>
      </c>
      <c r="C73" s="3">
        <v>33</v>
      </c>
      <c r="D73" s="3">
        <v>118</v>
      </c>
      <c r="E73" s="3">
        <v>2</v>
      </c>
      <c r="F73" s="6">
        <f>_xlfn.XLOOKUP(D73, Products!A:A,Products!E:E, )</f>
        <v>1000</v>
      </c>
      <c r="G73" s="5">
        <f t="shared" si="1"/>
        <v>2000</v>
      </c>
      <c r="H73" s="3" t="str">
        <f>_xlfn.XLOOKUP(C73,Customers!A:A,Customers!B:B)</f>
        <v xml:space="preserve"> Nawaf Abdullah</v>
      </c>
      <c r="I73" s="3" t="str">
        <f>_xlfn.XLOOKUP(D73,Products!A:A,Products!B:B)</f>
        <v>Intel Core Ultra 5 245K CPU</v>
      </c>
    </row>
    <row r="74" spans="1:9" x14ac:dyDescent="0.25">
      <c r="A74" s="3">
        <v>1073</v>
      </c>
      <c r="B74" s="2">
        <v>45938</v>
      </c>
      <c r="C74" s="3">
        <v>21</v>
      </c>
      <c r="D74" s="3">
        <v>108</v>
      </c>
      <c r="E74" s="3">
        <v>1</v>
      </c>
      <c r="F74" s="6">
        <f>_xlfn.XLOOKUP(D74, Products!A:A,Products!E:E, )</f>
        <v>400</v>
      </c>
      <c r="G74" s="5">
        <f t="shared" si="1"/>
        <v>400</v>
      </c>
      <c r="H74" s="3" t="str">
        <f>_xlfn.XLOOKUP(C74,Customers!A:A,Customers!B:B)</f>
        <v xml:space="preserve"> Hassan Ali</v>
      </c>
      <c r="I74" s="3" t="str">
        <f>_xlfn.XLOOKUP(D74,Products!A:A,Products!B:B)</f>
        <v>Logitech MX Pro  Mouse</v>
      </c>
    </row>
    <row r="75" spans="1:9" x14ac:dyDescent="0.25">
      <c r="A75" s="3">
        <v>1074</v>
      </c>
      <c r="B75" s="2">
        <v>45938</v>
      </c>
      <c r="C75" s="3">
        <v>33</v>
      </c>
      <c r="D75" s="3">
        <v>101</v>
      </c>
      <c r="E75" s="3">
        <v>2</v>
      </c>
      <c r="F75" s="6">
        <f>_xlfn.XLOOKUP(D75, Products!A:A,Products!E:E, )</f>
        <v>1400</v>
      </c>
      <c r="G75" s="5">
        <f t="shared" si="1"/>
        <v>2800</v>
      </c>
      <c r="H75" s="3" t="str">
        <f>_xlfn.XLOOKUP(C75,Customers!A:A,Customers!B:B)</f>
        <v xml:space="preserve"> Nawaf Abdullah</v>
      </c>
      <c r="I75" s="3" t="str">
        <f>_xlfn.XLOOKUP(D75,Products!A:A,Products!B:B)</f>
        <v>HyperX Cloud II</v>
      </c>
    </row>
    <row r="76" spans="1:9" x14ac:dyDescent="0.25">
      <c r="A76" s="3">
        <v>1075</v>
      </c>
      <c r="B76" s="2">
        <v>45938</v>
      </c>
      <c r="C76" s="3">
        <v>22</v>
      </c>
      <c r="D76" s="3">
        <v>139</v>
      </c>
      <c r="E76" s="3">
        <v>1</v>
      </c>
      <c r="F76" s="6">
        <f>_xlfn.XLOOKUP(D76, Products!A:A,Products!E:E, )</f>
        <v>1500</v>
      </c>
      <c r="G76" s="5">
        <f t="shared" si="1"/>
        <v>1500</v>
      </c>
      <c r="H76" s="3" t="str">
        <f>_xlfn.XLOOKUP(C76,Customers!A:A,Customers!B:B)</f>
        <v xml:space="preserve"> Rania Sultan</v>
      </c>
      <c r="I76" s="3" t="str">
        <f>_xlfn.XLOOKUP(D76,Products!A:A,Products!B:B)</f>
        <v>Kingston_FURY Beast 16GB DDR5</v>
      </c>
    </row>
    <row r="77" spans="1:9" x14ac:dyDescent="0.25">
      <c r="A77" s="3">
        <v>1076</v>
      </c>
      <c r="B77" s="2">
        <v>45939</v>
      </c>
      <c r="C77" s="3">
        <v>28</v>
      </c>
      <c r="D77" s="3">
        <v>100</v>
      </c>
      <c r="E77" s="3">
        <v>1</v>
      </c>
      <c r="F77" s="6">
        <f>_xlfn.XLOOKUP(D77, Products!A:A,Products!E:E, )</f>
        <v>1000</v>
      </c>
      <c r="G77" s="5">
        <f t="shared" si="1"/>
        <v>1000</v>
      </c>
      <c r="H77" s="3" t="str">
        <f>_xlfn.XLOOKUP(C77,Customers!A:A,Customers!B:B)</f>
        <v xml:space="preserve"> Laila Qasim</v>
      </c>
      <c r="I77" s="3" t="str">
        <f>_xlfn.XLOOKUP(D77,Products!A:A,Products!B:B)</f>
        <v>SteelSeries Arctis 7</v>
      </c>
    </row>
    <row r="78" spans="1:9" x14ac:dyDescent="0.25">
      <c r="A78" s="3">
        <v>1077</v>
      </c>
      <c r="B78" s="2">
        <v>45939</v>
      </c>
      <c r="C78" s="3">
        <v>38</v>
      </c>
      <c r="D78" s="3">
        <v>108</v>
      </c>
      <c r="E78" s="3">
        <v>1</v>
      </c>
      <c r="F78" s="6">
        <f>_xlfn.XLOOKUP(D78, Products!A:A,Products!E:E, )</f>
        <v>400</v>
      </c>
      <c r="G78" s="5">
        <f t="shared" si="1"/>
        <v>400</v>
      </c>
      <c r="H78" s="3" t="str">
        <f>_xlfn.XLOOKUP(C78,Customers!A:A,Customers!B:B)</f>
        <v xml:space="preserve"> Mariam Anwar</v>
      </c>
      <c r="I78" s="3" t="str">
        <f>_xlfn.XLOOKUP(D78,Products!A:A,Products!B:B)</f>
        <v>Logitech MX Pro  Mouse</v>
      </c>
    </row>
    <row r="79" spans="1:9" x14ac:dyDescent="0.25">
      <c r="A79" s="3">
        <v>1078</v>
      </c>
      <c r="B79" s="2">
        <v>45939</v>
      </c>
      <c r="C79" s="3">
        <v>36</v>
      </c>
      <c r="D79" s="3">
        <v>118</v>
      </c>
      <c r="E79" s="3">
        <v>2</v>
      </c>
      <c r="F79" s="6">
        <f>_xlfn.XLOOKUP(D79, Products!A:A,Products!E:E, )</f>
        <v>1000</v>
      </c>
      <c r="G79" s="5">
        <f t="shared" si="1"/>
        <v>2000</v>
      </c>
      <c r="H79" s="3" t="str">
        <f>_xlfn.XLOOKUP(C79,Customers!A:A,Customers!B:B)</f>
        <v xml:space="preserve"> Eman Samir</v>
      </c>
      <c r="I79" s="3" t="str">
        <f>_xlfn.XLOOKUP(D79,Products!A:A,Products!B:B)</f>
        <v>Intel Core Ultra 5 245K CPU</v>
      </c>
    </row>
    <row r="80" spans="1:9" x14ac:dyDescent="0.25">
      <c r="A80" s="3">
        <v>1079</v>
      </c>
      <c r="B80" s="2">
        <v>45939</v>
      </c>
      <c r="C80" s="3">
        <v>39</v>
      </c>
      <c r="D80" s="3">
        <v>147</v>
      </c>
      <c r="E80" s="3">
        <v>2</v>
      </c>
      <c r="F80" s="6">
        <f>_xlfn.XLOOKUP(D80, Products!A:A,Products!E:E, )</f>
        <v>1900</v>
      </c>
      <c r="G80" s="5">
        <f t="shared" si="1"/>
        <v>3800</v>
      </c>
      <c r="H80" s="3" t="str">
        <f>_xlfn.XLOOKUP(C80,Customers!A:A,Customers!B:B)</f>
        <v xml:space="preserve"> Osama Jamal</v>
      </c>
      <c r="I80" s="3" t="str">
        <f>_xlfn.XLOOKUP(D80,Products!A:A,Products!B:B)</f>
        <v>ASUS TUF Gaming VG27AQ 165Hz</v>
      </c>
    </row>
    <row r="81" spans="1:9" x14ac:dyDescent="0.25">
      <c r="A81" s="3">
        <v>1080</v>
      </c>
      <c r="B81" s="2">
        <v>45940</v>
      </c>
      <c r="C81" s="3">
        <v>40</v>
      </c>
      <c r="D81" s="3">
        <v>127</v>
      </c>
      <c r="E81" s="3">
        <v>1</v>
      </c>
      <c r="F81" s="6">
        <f>_xlfn.XLOOKUP(D81, Products!A:A,Products!E:E, )</f>
        <v>700</v>
      </c>
      <c r="G81" s="5">
        <f t="shared" si="1"/>
        <v>700</v>
      </c>
      <c r="H81" s="3" t="str">
        <f>_xlfn.XLOOKUP(C81,Customers!A:A,Customers!B:B)</f>
        <v xml:space="preserve"> Nada Refaat</v>
      </c>
      <c r="I81" s="3" t="str">
        <f>_xlfn.XLOOKUP(D81,Products!A:A,Products!B:B)</f>
        <v>Samsung 990 EVO PLUS 1TB NVMe</v>
      </c>
    </row>
    <row r="82" spans="1:9" x14ac:dyDescent="0.25">
      <c r="A82" s="3">
        <v>1081</v>
      </c>
      <c r="B82" s="2">
        <v>45940</v>
      </c>
      <c r="C82" s="3">
        <v>41</v>
      </c>
      <c r="D82" s="3">
        <v>133</v>
      </c>
      <c r="E82" s="3">
        <v>1</v>
      </c>
      <c r="F82" s="6">
        <f>_xlfn.XLOOKUP(D82, Products!A:A,Products!E:E, )</f>
        <v>2200</v>
      </c>
      <c r="G82" s="5">
        <f t="shared" si="1"/>
        <v>2200</v>
      </c>
      <c r="H82" s="3" t="str">
        <f>_xlfn.XLOOKUP(C82,Customers!A:A,Customers!B:B)</f>
        <v xml:space="preserve"> Sultan Fahd</v>
      </c>
      <c r="I82" s="3" t="str">
        <f>_xlfn.XLOOKUP(D82,Products!A:A,Products!B:B)</f>
        <v>AMD Ryzen 9 7950X3D</v>
      </c>
    </row>
    <row r="83" spans="1:9" x14ac:dyDescent="0.25">
      <c r="A83" s="3">
        <v>1082</v>
      </c>
      <c r="B83" s="2">
        <v>45940</v>
      </c>
      <c r="C83" s="3">
        <v>42</v>
      </c>
      <c r="D83" s="3">
        <v>128</v>
      </c>
      <c r="E83" s="3">
        <v>1</v>
      </c>
      <c r="F83" s="6">
        <f>_xlfn.XLOOKUP(D83, Products!A:A,Products!E:E, )</f>
        <v>300</v>
      </c>
      <c r="G83" s="5">
        <f t="shared" si="1"/>
        <v>300</v>
      </c>
      <c r="H83" s="3" t="str">
        <f>_xlfn.XLOOKUP(C83,Customers!A:A,Customers!B:B)</f>
        <v xml:space="preserve"> Heba Ismail</v>
      </c>
      <c r="I83" s="3" t="str">
        <f>_xlfn.XLOOKUP(D83,Products!A:A,Products!B:B)</f>
        <v>Crucial P3 Plus 500GB</v>
      </c>
    </row>
    <row r="84" spans="1:9" x14ac:dyDescent="0.25">
      <c r="A84" s="3">
        <v>1083</v>
      </c>
      <c r="B84" s="2">
        <v>45940</v>
      </c>
      <c r="C84" s="3">
        <v>40</v>
      </c>
      <c r="D84" s="3">
        <v>111</v>
      </c>
      <c r="E84" s="3">
        <v>1</v>
      </c>
      <c r="F84" s="6">
        <f>_xlfn.XLOOKUP(D84, Products!A:A,Products!E:E, )</f>
        <v>400</v>
      </c>
      <c r="G84" s="5">
        <f t="shared" si="1"/>
        <v>400</v>
      </c>
      <c r="H84" s="3" t="str">
        <f>_xlfn.XLOOKUP(C84,Customers!A:A,Customers!B:B)</f>
        <v xml:space="preserve"> Nada Refaat</v>
      </c>
      <c r="I84" s="3" t="str">
        <f>_xlfn.XLOOKUP(D84,Products!A:A,Products!B:B)</f>
        <v>XPG GAMMIX S60 Gen 4 NVME M.2 - Black - 512gb</v>
      </c>
    </row>
    <row r="85" spans="1:9" x14ac:dyDescent="0.25">
      <c r="A85" s="3">
        <v>1084</v>
      </c>
      <c r="B85" s="2">
        <v>45940</v>
      </c>
      <c r="C85" s="3">
        <v>30</v>
      </c>
      <c r="D85" s="3">
        <v>102</v>
      </c>
      <c r="E85" s="3">
        <v>2</v>
      </c>
      <c r="F85" s="6">
        <f>_xlfn.XLOOKUP(D85, Products!A:A,Products!E:E, )</f>
        <v>1800</v>
      </c>
      <c r="G85" s="5">
        <f t="shared" si="1"/>
        <v>3600</v>
      </c>
      <c r="H85" s="3" t="str">
        <f>_xlfn.XLOOKUP(C85,Customers!A:A,Customers!B:B)</f>
        <v xml:space="preserve"> Bushra Amin</v>
      </c>
      <c r="I85" s="3" t="str">
        <f>_xlfn.XLOOKUP(D85,Products!A:A,Products!B:B)</f>
        <v>Corsair HS50 Pro</v>
      </c>
    </row>
    <row r="86" spans="1:9" x14ac:dyDescent="0.25">
      <c r="A86" s="3">
        <v>1085</v>
      </c>
      <c r="B86" s="2">
        <v>45941</v>
      </c>
      <c r="C86" s="3">
        <v>39</v>
      </c>
      <c r="D86" s="3">
        <v>104</v>
      </c>
      <c r="E86" s="3">
        <v>2</v>
      </c>
      <c r="F86" s="6">
        <f>_xlfn.XLOOKUP(D86, Products!A:A,Products!E:E, )</f>
        <v>500</v>
      </c>
      <c r="G86" s="5">
        <f t="shared" si="1"/>
        <v>1000</v>
      </c>
      <c r="H86" s="3" t="str">
        <f>_xlfn.XLOOKUP(C86,Customers!A:A,Customers!B:B)</f>
        <v xml:space="preserve"> Osama Jamal</v>
      </c>
      <c r="I86" s="3" t="str">
        <f>_xlfn.XLOOKUP(D86,Products!A:A,Products!B:B)</f>
        <v>Kayboard_Razer_Tartrus</v>
      </c>
    </row>
    <row r="87" spans="1:9" x14ac:dyDescent="0.25">
      <c r="A87" s="3">
        <v>1086</v>
      </c>
      <c r="B87" s="2">
        <v>45941</v>
      </c>
      <c r="C87" s="3">
        <v>43</v>
      </c>
      <c r="D87" s="3">
        <v>104</v>
      </c>
      <c r="E87" s="3">
        <v>2</v>
      </c>
      <c r="F87" s="6">
        <f>_xlfn.XLOOKUP(D87, Products!A:A,Products!E:E, )</f>
        <v>500</v>
      </c>
      <c r="G87" s="5">
        <f t="shared" si="1"/>
        <v>1000</v>
      </c>
      <c r="H87" s="3" t="str">
        <f>_xlfn.XLOOKUP(C87,Customers!A:A,Customers!B:B)</f>
        <v xml:space="preserve"> Tariq Abdulaziz</v>
      </c>
      <c r="I87" s="3" t="str">
        <f>_xlfn.XLOOKUP(D87,Products!A:A,Products!B:B)</f>
        <v>Kayboard_Razer_Tartrus</v>
      </c>
    </row>
    <row r="88" spans="1:9" x14ac:dyDescent="0.25">
      <c r="A88" s="3">
        <v>1087</v>
      </c>
      <c r="B88" s="2">
        <v>45941</v>
      </c>
      <c r="C88" s="3">
        <v>15</v>
      </c>
      <c r="D88" s="3">
        <v>125</v>
      </c>
      <c r="E88" s="3">
        <v>2</v>
      </c>
      <c r="F88" s="6">
        <f>_xlfn.XLOOKUP(D88, Products!A:A,Products!E:E, )</f>
        <v>300</v>
      </c>
      <c r="G88" s="5">
        <f t="shared" si="1"/>
        <v>600</v>
      </c>
      <c r="H88" s="3" t="str">
        <f>_xlfn.XLOOKUP(C88,Customers!A:A,Customers!B:B)</f>
        <v xml:space="preserve"> Abdullah Sami</v>
      </c>
      <c r="I88" s="3" t="str">
        <f>_xlfn.XLOOKUP(D88,Products!A:A,Products!B:B)</f>
        <v>Logitech MX Master 3S Mouse</v>
      </c>
    </row>
    <row r="89" spans="1:9" x14ac:dyDescent="0.25">
      <c r="A89" s="3">
        <v>1088</v>
      </c>
      <c r="B89" s="2">
        <v>45942</v>
      </c>
      <c r="C89" s="3">
        <v>44</v>
      </c>
      <c r="D89" s="3">
        <v>123</v>
      </c>
      <c r="E89" s="3">
        <v>2</v>
      </c>
      <c r="F89" s="6">
        <f>_xlfn.XLOOKUP(D89, Products!A:A,Products!E:E, )</f>
        <v>1800</v>
      </c>
      <c r="G89" s="5">
        <f t="shared" si="1"/>
        <v>3600</v>
      </c>
      <c r="H89" s="3" t="str">
        <f>_xlfn.XLOOKUP(C89,Customers!A:A,Customers!B:B)</f>
        <v xml:space="preserve"> Salma Yousif</v>
      </c>
      <c r="I89" s="3" t="str">
        <f>_xlfn.XLOOKUP(D89,Products!A:A,Products!B:B)</f>
        <v>AMD Ryzen 9 7900x CPU</v>
      </c>
    </row>
    <row r="90" spans="1:9" x14ac:dyDescent="0.25">
      <c r="A90" s="3">
        <v>1089</v>
      </c>
      <c r="B90" s="2">
        <v>45942</v>
      </c>
      <c r="C90" s="3">
        <v>17</v>
      </c>
      <c r="D90" s="3">
        <v>100</v>
      </c>
      <c r="E90" s="3">
        <v>1</v>
      </c>
      <c r="F90" s="6">
        <f>_xlfn.XLOOKUP(D90, Products!A:A,Products!E:E, )</f>
        <v>1000</v>
      </c>
      <c r="G90" s="5">
        <f t="shared" si="1"/>
        <v>1000</v>
      </c>
      <c r="H90" s="3" t="str">
        <f>_xlfn.XLOOKUP(C90,Customers!A:A,Customers!B:B)</f>
        <v xml:space="preserve"> Salman Rashid</v>
      </c>
      <c r="I90" s="3" t="str">
        <f>_xlfn.XLOOKUP(D90,Products!A:A,Products!B:B)</f>
        <v>SteelSeries Arctis 7</v>
      </c>
    </row>
    <row r="91" spans="1:9" x14ac:dyDescent="0.25">
      <c r="A91" s="3">
        <v>1090</v>
      </c>
      <c r="B91" s="2">
        <v>45942</v>
      </c>
      <c r="C91" s="3">
        <v>45</v>
      </c>
      <c r="D91" s="3">
        <v>121</v>
      </c>
      <c r="E91" s="3">
        <v>1</v>
      </c>
      <c r="F91" s="6">
        <f>_xlfn.XLOOKUP(D91, Products!A:A,Products!E:E, )</f>
        <v>1500</v>
      </c>
      <c r="G91" s="5">
        <f t="shared" si="1"/>
        <v>1500</v>
      </c>
      <c r="H91" s="3" t="str">
        <f>_xlfn.XLOOKUP(C91,Customers!A:A,Customers!B:B)</f>
        <v xml:space="preserve"> Majed Abdullah</v>
      </c>
      <c r="I91" s="3" t="str">
        <f>_xlfn.XLOOKUP(D91,Products!A:A,Products!B:B)</f>
        <v>Intel Core Ultra 7 265KF Tray CPU</v>
      </c>
    </row>
    <row r="92" spans="1:9" x14ac:dyDescent="0.25">
      <c r="A92" s="3">
        <v>1091</v>
      </c>
      <c r="B92" s="2">
        <v>45943</v>
      </c>
      <c r="C92" s="3">
        <v>46</v>
      </c>
      <c r="D92" s="3">
        <v>125</v>
      </c>
      <c r="E92" s="3">
        <v>1</v>
      </c>
      <c r="F92" s="6">
        <f>_xlfn.XLOOKUP(D92, Products!A:A,Products!E:E, )</f>
        <v>300</v>
      </c>
      <c r="G92" s="5">
        <f t="shared" si="1"/>
        <v>300</v>
      </c>
      <c r="H92" s="3" t="str">
        <f>_xlfn.XLOOKUP(C92,Customers!A:A,Customers!B:B)</f>
        <v xml:space="preserve"> Yasmin Nabil</v>
      </c>
      <c r="I92" s="3" t="str">
        <f>_xlfn.XLOOKUP(D92,Products!A:A,Products!B:B)</f>
        <v>Logitech MX Master 3S Mouse</v>
      </c>
    </row>
    <row r="93" spans="1:9" x14ac:dyDescent="0.25">
      <c r="A93" s="3">
        <v>1092</v>
      </c>
      <c r="B93" s="2">
        <v>45943</v>
      </c>
      <c r="C93" s="3">
        <v>47</v>
      </c>
      <c r="D93" s="3">
        <v>124</v>
      </c>
      <c r="E93" s="3">
        <v>1</v>
      </c>
      <c r="F93" s="6">
        <f>_xlfn.XLOOKUP(D93, Products!A:A,Products!E:E, )</f>
        <v>3300</v>
      </c>
      <c r="G93" s="5">
        <f t="shared" si="1"/>
        <v>3300</v>
      </c>
      <c r="H93" s="3" t="str">
        <f>_xlfn.XLOOKUP(C93,Customers!A:A,Customers!B:B)</f>
        <v xml:space="preserve"> Rashed Ali</v>
      </c>
      <c r="I93" s="3" t="str">
        <f>_xlfn.XLOOKUP(D93,Products!A:A,Products!B:B)</f>
        <v>AMD Ryzen 9 9950X3D CPU</v>
      </c>
    </row>
    <row r="94" spans="1:9" x14ac:dyDescent="0.25">
      <c r="A94" s="3">
        <v>1093</v>
      </c>
      <c r="B94" s="2">
        <v>45943</v>
      </c>
      <c r="C94" s="3">
        <v>48</v>
      </c>
      <c r="D94" s="3">
        <v>146</v>
      </c>
      <c r="E94" s="3">
        <v>1</v>
      </c>
      <c r="F94" s="6">
        <f>_xlfn.XLOOKUP(D94, Products!A:A,Products!E:E, )</f>
        <v>1800</v>
      </c>
      <c r="G94" s="5">
        <f t="shared" si="1"/>
        <v>1800</v>
      </c>
      <c r="H94" s="3" t="str">
        <f>_xlfn.XLOOKUP(C94,Customers!A:A,Customers!B:B)</f>
        <v xml:space="preserve"> Abeer Saif</v>
      </c>
      <c r="I94" s="3" t="str">
        <f>_xlfn.XLOOKUP(D94,Products!A:A,Products!B:B)</f>
        <v>LG UltraGear 27GP850-B 165Hz</v>
      </c>
    </row>
    <row r="95" spans="1:9" x14ac:dyDescent="0.25">
      <c r="A95" s="3">
        <v>1094</v>
      </c>
      <c r="B95" s="2">
        <v>45944</v>
      </c>
      <c r="C95" s="3">
        <v>49</v>
      </c>
      <c r="D95" s="3">
        <v>142</v>
      </c>
      <c r="E95" s="3">
        <v>2</v>
      </c>
      <c r="F95" s="6">
        <f>_xlfn.XLOOKUP(D95, Products!A:A,Products!E:E, )</f>
        <v>500</v>
      </c>
      <c r="G95" s="5">
        <f t="shared" si="1"/>
        <v>1000</v>
      </c>
      <c r="H95" s="3" t="str">
        <f>_xlfn.XLOOKUP(C95,Customers!A:A,Customers!B:B)</f>
        <v xml:space="preserve"> Muteb Khalid</v>
      </c>
      <c r="I95" s="3" t="str">
        <f>_xlfn.XLOOKUP(D95,Products!A:A,Products!B:B)</f>
        <v>Apple Magic Keyboard</v>
      </c>
    </row>
    <row r="96" spans="1:9" x14ac:dyDescent="0.25">
      <c r="A96" s="3">
        <v>1095</v>
      </c>
      <c r="B96" s="2">
        <v>45945</v>
      </c>
      <c r="C96" s="3">
        <v>50</v>
      </c>
      <c r="D96" s="3">
        <v>144</v>
      </c>
      <c r="E96" s="3">
        <v>2</v>
      </c>
      <c r="F96" s="6">
        <f>_xlfn.XLOOKUP(D96, Products!A:A,Products!E:E, )</f>
        <v>1600</v>
      </c>
      <c r="G96" s="5">
        <f t="shared" si="1"/>
        <v>3200</v>
      </c>
      <c r="H96" s="3" t="str">
        <f>_xlfn.XLOOKUP(C96,Customers!A:A,Customers!B:B)</f>
        <v xml:space="preserve"> Hanan Adel</v>
      </c>
      <c r="I96" s="3" t="str">
        <f>_xlfn.XLOOKUP(D96,Products!A:A,Products!B:B)</f>
        <v>Dell UltraSharp U2723QE Monitor</v>
      </c>
    </row>
    <row r="97" spans="1:9" x14ac:dyDescent="0.25">
      <c r="A97" s="3">
        <v>1096</v>
      </c>
      <c r="B97" s="2">
        <v>45946</v>
      </c>
      <c r="C97" s="3">
        <v>51</v>
      </c>
      <c r="D97" s="3">
        <v>101</v>
      </c>
      <c r="E97" s="3">
        <v>2</v>
      </c>
      <c r="F97" s="6">
        <f>_xlfn.XLOOKUP(D97, Products!A:A,Products!E:E, )</f>
        <v>1400</v>
      </c>
      <c r="G97" s="5">
        <f t="shared" si="1"/>
        <v>2800</v>
      </c>
      <c r="H97" s="3" t="str">
        <f>_xlfn.XLOOKUP(C97,Customers!A:A,Customers!B:B)</f>
        <v xml:space="preserve"> Abdulrahman Saeed</v>
      </c>
      <c r="I97" s="3" t="str">
        <f>_xlfn.XLOOKUP(D97,Products!A:A,Products!B:B)</f>
        <v>HyperX Cloud II</v>
      </c>
    </row>
    <row r="98" spans="1:9" x14ac:dyDescent="0.25">
      <c r="A98" s="3">
        <v>1097</v>
      </c>
      <c r="B98" s="2">
        <v>45947</v>
      </c>
      <c r="C98" s="3">
        <v>52</v>
      </c>
      <c r="D98" s="3">
        <v>111</v>
      </c>
      <c r="E98" s="3">
        <v>2</v>
      </c>
      <c r="F98" s="6">
        <f>_xlfn.XLOOKUP(D98, Products!A:A,Products!E:E, )</f>
        <v>400</v>
      </c>
      <c r="G98" s="5">
        <f t="shared" si="1"/>
        <v>800</v>
      </c>
      <c r="H98" s="3" t="str">
        <f>_xlfn.XLOOKUP(C98,Customers!A:A,Customers!B:B)</f>
        <v xml:space="preserve"> Dalia Hassan</v>
      </c>
      <c r="I98" s="3" t="str">
        <f>_xlfn.XLOOKUP(D98,Products!A:A,Products!B:B)</f>
        <v>XPG GAMMIX S60 Gen 4 NVME M.2 - Black - 512gb</v>
      </c>
    </row>
    <row r="99" spans="1:9" x14ac:dyDescent="0.25">
      <c r="A99" s="3">
        <v>1098</v>
      </c>
      <c r="B99" s="2">
        <v>45948</v>
      </c>
      <c r="C99" s="3">
        <v>33</v>
      </c>
      <c r="D99" s="3">
        <v>140</v>
      </c>
      <c r="E99" s="3">
        <v>2</v>
      </c>
      <c r="F99" s="6">
        <f>_xlfn.XLOOKUP(D99, Products!A:A,Products!E:E, )</f>
        <v>500</v>
      </c>
      <c r="G99" s="5">
        <f t="shared" si="1"/>
        <v>1000</v>
      </c>
      <c r="H99" s="3" t="str">
        <f>_xlfn.XLOOKUP(C99,Customers!A:A,Customers!B:B)</f>
        <v xml:space="preserve"> Nawaf Abdullah</v>
      </c>
      <c r="I99" s="3" t="str">
        <f>_xlfn.XLOOKUP(D99,Products!A:A,Products!B:B)</f>
        <v>WD Black SN850X 1TB</v>
      </c>
    </row>
    <row r="100" spans="1:9" x14ac:dyDescent="0.25">
      <c r="A100" s="3">
        <v>1099</v>
      </c>
      <c r="B100" s="2">
        <v>45948</v>
      </c>
      <c r="C100" s="3">
        <v>34</v>
      </c>
      <c r="D100" s="3">
        <v>129</v>
      </c>
      <c r="E100" s="3">
        <v>1</v>
      </c>
      <c r="F100" s="6">
        <f>_xlfn.XLOOKUP(D100, Products!A:A,Products!E:E, )</f>
        <v>1000</v>
      </c>
      <c r="G100" s="5">
        <f t="shared" si="1"/>
        <v>1000</v>
      </c>
      <c r="H100" s="3" t="str">
        <f>_xlfn.XLOOKUP(C100,Customers!A:A,Customers!B:B)</f>
        <v xml:space="preserve"> Fatimah Kareem</v>
      </c>
      <c r="I100" s="3" t="str">
        <f>_xlfn.XLOOKUP(D100,Products!A:A,Products!B:B)</f>
        <v>XPG GAMMIX S70 Blade Gen4 2TB</v>
      </c>
    </row>
    <row r="101" spans="1:9" x14ac:dyDescent="0.25">
      <c r="A101" s="3">
        <v>1100</v>
      </c>
      <c r="B101" s="2">
        <v>45949</v>
      </c>
      <c r="C101" s="3">
        <v>53</v>
      </c>
      <c r="D101" s="3">
        <v>143</v>
      </c>
      <c r="E101" s="3">
        <v>2</v>
      </c>
      <c r="F101" s="6">
        <f>_xlfn.XLOOKUP(D101, Products!A:A,Products!E:E, )</f>
        <v>400</v>
      </c>
      <c r="G101" s="5">
        <f t="shared" si="1"/>
        <v>800</v>
      </c>
      <c r="H101" s="3" t="str">
        <f>_xlfn.XLOOKUP(C101,Customers!A:A,Customers!B:B)</f>
        <v xml:space="preserve"> Sami Fawzi</v>
      </c>
      <c r="I101" s="3" t="str">
        <f>_xlfn.XLOOKUP(D101,Products!A:A,Products!B:B)</f>
        <v>HP Pavilion Gaming Mouse 300</v>
      </c>
    </row>
    <row r="102" spans="1:9" x14ac:dyDescent="0.25">
      <c r="A102" s="3">
        <v>1101</v>
      </c>
      <c r="B102" s="2">
        <v>45949</v>
      </c>
      <c r="C102" s="3">
        <v>6</v>
      </c>
      <c r="D102" s="3">
        <v>143</v>
      </c>
      <c r="E102" s="3">
        <v>2</v>
      </c>
      <c r="F102" s="6">
        <f>_xlfn.XLOOKUP(D102, Products!A:A,Products!E:E, )</f>
        <v>400</v>
      </c>
      <c r="G102" s="5">
        <f t="shared" si="1"/>
        <v>800</v>
      </c>
      <c r="H102" s="3" t="str">
        <f>_xlfn.XLOOKUP(C102,Customers!A:A,Customers!B:B)</f>
        <v xml:space="preserve"> Noor Abdullah</v>
      </c>
      <c r="I102" s="3" t="str">
        <f>_xlfn.XLOOKUP(D102,Products!A:A,Products!B:B)</f>
        <v>HP Pavilion Gaming Mouse 300</v>
      </c>
    </row>
    <row r="103" spans="1:9" x14ac:dyDescent="0.25">
      <c r="A103" s="3">
        <v>1102</v>
      </c>
      <c r="B103" s="2">
        <v>45949</v>
      </c>
      <c r="C103" s="3">
        <v>4</v>
      </c>
      <c r="D103" s="3">
        <v>111</v>
      </c>
      <c r="E103" s="3">
        <v>1</v>
      </c>
      <c r="F103" s="6">
        <f>_xlfn.XLOOKUP(D103, Products!A:A,Products!E:E, )</f>
        <v>400</v>
      </c>
      <c r="G103" s="5">
        <f t="shared" si="1"/>
        <v>400</v>
      </c>
      <c r="H103" s="3" t="str">
        <f>_xlfn.XLOOKUP(C103,Customers!A:A,Customers!B:B)</f>
        <v xml:space="preserve"> Sara Khalid</v>
      </c>
      <c r="I103" s="3" t="str">
        <f>_xlfn.XLOOKUP(D103,Products!A:A,Products!B:B)</f>
        <v>XPG GAMMIX S60 Gen 4 NVME M.2 - Black - 512gb</v>
      </c>
    </row>
    <row r="104" spans="1:9" x14ac:dyDescent="0.25">
      <c r="A104" s="3">
        <v>1103</v>
      </c>
      <c r="B104" s="2">
        <v>45949</v>
      </c>
      <c r="C104" s="3">
        <v>54</v>
      </c>
      <c r="D104" s="3">
        <v>132</v>
      </c>
      <c r="E104" s="3">
        <v>2</v>
      </c>
      <c r="F104" s="6">
        <f>_xlfn.XLOOKUP(D104, Products!A:A,Products!E:E, )</f>
        <v>1400</v>
      </c>
      <c r="G104" s="5">
        <f t="shared" si="1"/>
        <v>2800</v>
      </c>
      <c r="H104" s="3" t="str">
        <f>_xlfn.XLOOKUP(C104,Customers!A:A,Customers!B:B)</f>
        <v xml:space="preserve"> Shatha Omar</v>
      </c>
      <c r="I104" s="3" t="str">
        <f>_xlfn.XLOOKUP(D104,Products!A:A,Products!B:B)</f>
        <v>Intel Core i7 14700K Processor</v>
      </c>
    </row>
    <row r="105" spans="1:9" x14ac:dyDescent="0.25">
      <c r="A105" s="3">
        <v>1104</v>
      </c>
      <c r="B105" s="2">
        <v>45950</v>
      </c>
      <c r="C105" s="3">
        <v>7</v>
      </c>
      <c r="D105" s="3">
        <v>126</v>
      </c>
      <c r="E105" s="3">
        <v>1</v>
      </c>
      <c r="F105" s="6">
        <f>_xlfn.XLOOKUP(D105, Products!A:A,Products!E:E, )</f>
        <v>280</v>
      </c>
      <c r="G105" s="5">
        <f t="shared" si="1"/>
        <v>280</v>
      </c>
      <c r="H105" s="3" t="str">
        <f>_xlfn.XLOOKUP(C105,Customers!A:A,Customers!B:B)</f>
        <v xml:space="preserve"> Faisal Mohammed</v>
      </c>
      <c r="I105" s="3" t="str">
        <f>_xlfn.XLOOKUP(D105,Products!A:A,Products!B:B)</f>
        <v>Red-dragon K552 Mechanical Keyboard</v>
      </c>
    </row>
    <row r="106" spans="1:9" x14ac:dyDescent="0.25">
      <c r="A106" s="3">
        <v>1105</v>
      </c>
      <c r="B106" s="2">
        <v>45951</v>
      </c>
      <c r="C106" s="3">
        <v>24</v>
      </c>
      <c r="D106" s="3">
        <v>145</v>
      </c>
      <c r="E106" s="3">
        <v>2</v>
      </c>
      <c r="F106" s="6">
        <f>_xlfn.XLOOKUP(D106, Products!A:A,Products!E:E, )</f>
        <v>1700</v>
      </c>
      <c r="G106" s="5">
        <f t="shared" si="1"/>
        <v>3400</v>
      </c>
      <c r="H106" s="3" t="str">
        <f>_xlfn.XLOOKUP(C106,Customers!A:A,Customers!B:B)</f>
        <v xml:space="preserve"> Mona Hisham</v>
      </c>
      <c r="I106" s="3" t="str">
        <f>_xlfn.XLOOKUP(D106,Products!A:A,Products!B:B)</f>
        <v>Samsung Odyssey G5 27" QHD 144Hz</v>
      </c>
    </row>
    <row r="107" spans="1:9" x14ac:dyDescent="0.25">
      <c r="A107" s="3">
        <v>1106</v>
      </c>
      <c r="B107" s="2">
        <v>45952</v>
      </c>
      <c r="C107" s="3">
        <v>32</v>
      </c>
      <c r="D107" s="3">
        <v>142</v>
      </c>
      <c r="E107" s="3">
        <v>1</v>
      </c>
      <c r="F107" s="6">
        <f>_xlfn.XLOOKUP(D107, Products!A:A,Products!E:E, )</f>
        <v>500</v>
      </c>
      <c r="G107" s="5">
        <f t="shared" si="1"/>
        <v>500</v>
      </c>
      <c r="H107" s="3" t="str">
        <f>_xlfn.XLOOKUP(C107,Customers!A:A,Customers!B:B)</f>
        <v xml:space="preserve"> Rana Bilal</v>
      </c>
      <c r="I107" s="3" t="str">
        <f>_xlfn.XLOOKUP(D107,Products!A:A,Products!B:B)</f>
        <v>Apple Magic Keyboard</v>
      </c>
    </row>
    <row r="108" spans="1:9" x14ac:dyDescent="0.25">
      <c r="A108" s="3">
        <v>1107</v>
      </c>
      <c r="B108" s="2">
        <v>45953</v>
      </c>
      <c r="C108" s="3">
        <v>28</v>
      </c>
      <c r="D108" s="3">
        <v>143</v>
      </c>
      <c r="E108" s="3">
        <v>2</v>
      </c>
      <c r="F108" s="6">
        <f>_xlfn.XLOOKUP(D108, Products!A:A,Products!E:E, )</f>
        <v>400</v>
      </c>
      <c r="G108" s="5">
        <f t="shared" si="1"/>
        <v>800</v>
      </c>
      <c r="H108" s="3" t="str">
        <f>_xlfn.XLOOKUP(C108,Customers!A:A,Customers!B:B)</f>
        <v xml:space="preserve"> Laila Qasim</v>
      </c>
      <c r="I108" s="3" t="str">
        <f>_xlfn.XLOOKUP(D108,Products!A:A,Products!B:B)</f>
        <v>HP Pavilion Gaming Mouse 300</v>
      </c>
    </row>
    <row r="109" spans="1:9" x14ac:dyDescent="0.25">
      <c r="A109" s="3">
        <v>1108</v>
      </c>
      <c r="B109" s="2">
        <v>45954</v>
      </c>
      <c r="C109" s="3">
        <v>55</v>
      </c>
      <c r="D109" s="3">
        <v>109</v>
      </c>
      <c r="E109" s="3">
        <v>2</v>
      </c>
      <c r="F109" s="6">
        <f>_xlfn.XLOOKUP(D109, Products!A:A,Products!E:E, )</f>
        <v>1600</v>
      </c>
      <c r="G109" s="5">
        <f t="shared" si="1"/>
        <v>3200</v>
      </c>
      <c r="H109" s="3" t="str">
        <f>_xlfn.XLOOKUP(C109,Customers!A:A,Customers!B:B)</f>
        <v xml:space="preserve"> Nasser Hamad</v>
      </c>
      <c r="I109" s="3" t="str">
        <f>_xlfn.XLOOKUP(D109,Products!A:A,Products!B:B)</f>
        <v>Xbox_One</v>
      </c>
    </row>
    <row r="110" spans="1:9" x14ac:dyDescent="0.25">
      <c r="A110" s="3">
        <v>1109</v>
      </c>
      <c r="B110" s="2">
        <v>45955</v>
      </c>
      <c r="C110" s="3">
        <v>29</v>
      </c>
      <c r="D110" s="3">
        <v>127</v>
      </c>
      <c r="E110" s="3">
        <v>2</v>
      </c>
      <c r="F110" s="6">
        <f>_xlfn.XLOOKUP(D110, Products!A:A,Products!E:E, )</f>
        <v>700</v>
      </c>
      <c r="G110" s="5">
        <f t="shared" si="1"/>
        <v>1400</v>
      </c>
      <c r="H110" s="3" t="str">
        <f>_xlfn.XLOOKUP(C110,Customers!A:A,Customers!B:B)</f>
        <v xml:space="preserve"> Fahad Turki</v>
      </c>
      <c r="I110" s="3" t="str">
        <f>_xlfn.XLOOKUP(D110,Products!A:A,Products!B:B)</f>
        <v>Samsung 990 EVO PLUS 1TB NVMe</v>
      </c>
    </row>
    <row r="111" spans="1:9" x14ac:dyDescent="0.25">
      <c r="A111" s="3">
        <v>1110</v>
      </c>
      <c r="B111" s="2">
        <v>45956</v>
      </c>
      <c r="C111" s="3">
        <v>39</v>
      </c>
      <c r="D111" s="3">
        <v>101</v>
      </c>
      <c r="E111" s="3">
        <v>2</v>
      </c>
      <c r="F111" s="6">
        <f>_xlfn.XLOOKUP(D111, Products!A:A,Products!E:E, )</f>
        <v>1400</v>
      </c>
      <c r="G111" s="5">
        <f t="shared" si="1"/>
        <v>2800</v>
      </c>
      <c r="H111" s="3" t="str">
        <f>_xlfn.XLOOKUP(C111,Customers!A:A,Customers!B:B)</f>
        <v xml:space="preserve"> Osama Jamal</v>
      </c>
      <c r="I111" s="3" t="str">
        <f>_xlfn.XLOOKUP(D111,Products!A:A,Products!B:B)</f>
        <v>HyperX Cloud II</v>
      </c>
    </row>
    <row r="112" spans="1:9" x14ac:dyDescent="0.25">
      <c r="A112" s="3">
        <v>1111</v>
      </c>
      <c r="B112" s="2">
        <v>45957</v>
      </c>
      <c r="C112" s="3">
        <v>20</v>
      </c>
      <c r="D112" s="3">
        <v>100</v>
      </c>
      <c r="E112" s="3">
        <v>1</v>
      </c>
      <c r="F112" s="6">
        <f>_xlfn.XLOOKUP(D112, Products!A:A,Products!E:E, )</f>
        <v>1000</v>
      </c>
      <c r="G112" s="5">
        <f t="shared" si="1"/>
        <v>1000</v>
      </c>
      <c r="H112" s="3" t="str">
        <f>_xlfn.XLOOKUP(C112,Customers!A:A,Customers!B:B)</f>
        <v xml:space="preserve"> Noura Majed</v>
      </c>
      <c r="I112" s="3" t="str">
        <f>_xlfn.XLOOKUP(D112,Products!A:A,Products!B:B)</f>
        <v>SteelSeries Arctis 7</v>
      </c>
    </row>
    <row r="113" spans="1:9" x14ac:dyDescent="0.25">
      <c r="A113" s="3">
        <v>1112</v>
      </c>
      <c r="B113" s="2">
        <v>45958</v>
      </c>
      <c r="C113" s="3">
        <v>11</v>
      </c>
      <c r="D113" s="3">
        <v>120</v>
      </c>
      <c r="E113" s="3">
        <v>2</v>
      </c>
      <c r="F113" s="6">
        <f>_xlfn.XLOOKUP(D113, Products!A:A,Products!E:E, )</f>
        <v>2000</v>
      </c>
      <c r="G113" s="5">
        <f t="shared" si="1"/>
        <v>4000</v>
      </c>
      <c r="H113" s="3" t="str">
        <f>_xlfn.XLOOKUP(C113,Customers!A:A,Customers!B:B)</f>
        <v xml:space="preserve"> Youssef Nasser</v>
      </c>
      <c r="I113" s="3" t="str">
        <f>_xlfn.XLOOKUP(D113,Products!A:A,Products!B:B)</f>
        <v>Intel Core i9-13900 CPU</v>
      </c>
    </row>
    <row r="114" spans="1:9" x14ac:dyDescent="0.25">
      <c r="A114" s="3">
        <v>1113</v>
      </c>
      <c r="B114" s="2">
        <v>45959</v>
      </c>
      <c r="C114" s="3">
        <v>21</v>
      </c>
      <c r="D114" s="3">
        <v>141</v>
      </c>
      <c r="E114" s="3">
        <v>2</v>
      </c>
      <c r="F114" s="6">
        <f>_xlfn.XLOOKUP(D114, Products!A:A,Products!E:E, )</f>
        <v>400</v>
      </c>
      <c r="G114" s="5">
        <f t="shared" si="1"/>
        <v>800</v>
      </c>
      <c r="H114" s="3" t="str">
        <f>_xlfn.XLOOKUP(C114,Customers!A:A,Customers!B:B)</f>
        <v xml:space="preserve"> Hassan Ali</v>
      </c>
      <c r="I114" s="3" t="str">
        <f>_xlfn.XLOOKUP(D114,Products!A:A,Products!B:B)</f>
        <v>Seagate Barracuda 2TB HDD</v>
      </c>
    </row>
    <row r="115" spans="1:9" x14ac:dyDescent="0.25">
      <c r="A115" s="3">
        <v>1114</v>
      </c>
      <c r="B115" s="2">
        <v>45960</v>
      </c>
      <c r="C115" s="3">
        <v>56</v>
      </c>
      <c r="D115" s="3">
        <v>117</v>
      </c>
      <c r="E115" s="3">
        <v>1</v>
      </c>
      <c r="F115" s="6">
        <f>_xlfn.XLOOKUP(D115, Products!A:A,Products!E:E, )</f>
        <v>900</v>
      </c>
      <c r="G115" s="5">
        <f t="shared" si="1"/>
        <v>900</v>
      </c>
      <c r="H115" s="3" t="str">
        <f>_xlfn.XLOOKUP(C115,Customers!A:A,Customers!B:B)</f>
        <v xml:space="preserve"> Lubna Khalil</v>
      </c>
      <c r="I115" s="3" t="str">
        <f>_xlfn.XLOOKUP(D115,Products!A:A,Products!B:B)</f>
        <v>MSI GeForce RTX 3050</v>
      </c>
    </row>
    <row r="116" spans="1:9" x14ac:dyDescent="0.25">
      <c r="A116" s="3">
        <v>1115</v>
      </c>
      <c r="B116" s="2">
        <v>45961</v>
      </c>
      <c r="C116" s="3">
        <v>56</v>
      </c>
      <c r="D116" s="3">
        <v>121</v>
      </c>
      <c r="E116" s="3">
        <v>1</v>
      </c>
      <c r="F116" s="6">
        <f>_xlfn.XLOOKUP(D116, Products!A:A,Products!E:E, )</f>
        <v>1500</v>
      </c>
      <c r="G116" s="5">
        <f t="shared" si="1"/>
        <v>1500</v>
      </c>
      <c r="H116" s="3" t="str">
        <f>_xlfn.XLOOKUP(C116,Customers!A:A,Customers!B:B)</f>
        <v xml:space="preserve"> Lubna Khalil</v>
      </c>
      <c r="I116" s="3" t="str">
        <f>_xlfn.XLOOKUP(D116,Products!A:A,Products!B:B)</f>
        <v>Intel Core Ultra 7 265KF Tray CPU</v>
      </c>
    </row>
    <row r="117" spans="1:9" x14ac:dyDescent="0.25">
      <c r="A117" s="3">
        <v>1116</v>
      </c>
      <c r="B117" s="2">
        <v>45962</v>
      </c>
      <c r="C117" s="3">
        <v>57</v>
      </c>
      <c r="D117" s="3">
        <v>143</v>
      </c>
      <c r="E117" s="3">
        <v>1</v>
      </c>
      <c r="F117" s="6">
        <f>_xlfn.XLOOKUP(D117, Products!A:A,Products!E:E, )</f>
        <v>400</v>
      </c>
      <c r="G117" s="5">
        <f t="shared" si="1"/>
        <v>400</v>
      </c>
      <c r="H117" s="3" t="str">
        <f>_xlfn.XLOOKUP(C117,Customers!A:A,Customers!B:B)</f>
        <v xml:space="preserve"> Fahd Salem</v>
      </c>
      <c r="I117" s="3" t="str">
        <f>_xlfn.XLOOKUP(D117,Products!A:A,Products!B:B)</f>
        <v>HP Pavilion Gaming Mouse 300</v>
      </c>
    </row>
    <row r="118" spans="1:9" x14ac:dyDescent="0.25">
      <c r="A118" s="3">
        <v>1117</v>
      </c>
      <c r="B118" s="2">
        <v>45962</v>
      </c>
      <c r="C118" s="3">
        <v>58</v>
      </c>
      <c r="D118" s="3">
        <v>142</v>
      </c>
      <c r="E118" s="3">
        <v>2</v>
      </c>
      <c r="F118" s="6">
        <f>_xlfn.XLOOKUP(D118, Products!A:A,Products!E:E, )</f>
        <v>500</v>
      </c>
      <c r="G118" s="5">
        <f t="shared" si="1"/>
        <v>1000</v>
      </c>
      <c r="H118" s="3" t="str">
        <f>_xlfn.XLOOKUP(C118,Customers!A:A,Customers!B:B)</f>
        <v xml:space="preserve"> Inas Tamer</v>
      </c>
      <c r="I118" s="3" t="str">
        <f>_xlfn.XLOOKUP(D118,Products!A:A,Products!B:B)</f>
        <v>Apple Magic Keyboard</v>
      </c>
    </row>
    <row r="119" spans="1:9" x14ac:dyDescent="0.25">
      <c r="A119" s="3">
        <v>1118</v>
      </c>
      <c r="B119" s="2">
        <v>45962</v>
      </c>
      <c r="C119" s="3">
        <v>59</v>
      </c>
      <c r="D119" s="3">
        <v>104</v>
      </c>
      <c r="E119" s="3">
        <v>2</v>
      </c>
      <c r="F119" s="6">
        <f>_xlfn.XLOOKUP(D119, Products!A:A,Products!E:E, )</f>
        <v>500</v>
      </c>
      <c r="G119" s="5">
        <f t="shared" si="1"/>
        <v>1000</v>
      </c>
      <c r="H119" s="3" t="str">
        <f>_xlfn.XLOOKUP(C119,Customers!A:A,Customers!B:B)</f>
        <v xml:space="preserve"> Khalaf Abdullah</v>
      </c>
      <c r="I119" s="3" t="str">
        <f>_xlfn.XLOOKUP(D119,Products!A:A,Products!B:B)</f>
        <v>Kayboard_Razer_Tartrus</v>
      </c>
    </row>
    <row r="120" spans="1:9" x14ac:dyDescent="0.25">
      <c r="A120" s="3">
        <v>1119</v>
      </c>
      <c r="B120" s="2">
        <v>45963</v>
      </c>
      <c r="C120" s="3">
        <v>41</v>
      </c>
      <c r="D120" s="3">
        <v>106</v>
      </c>
      <c r="E120" s="3">
        <v>1</v>
      </c>
      <c r="F120" s="6">
        <f>_xlfn.XLOOKUP(D120, Products!A:A,Products!E:E, )</f>
        <v>800</v>
      </c>
      <c r="G120" s="5">
        <f t="shared" si="1"/>
        <v>800</v>
      </c>
      <c r="H120" s="3" t="str">
        <f>_xlfn.XLOOKUP(C120,Customers!A:A,Customers!B:B)</f>
        <v xml:space="preserve"> Sultan Fahd</v>
      </c>
      <c r="I120" s="3" t="str">
        <f>_xlfn.XLOOKUP(D120,Products!A:A,Products!B:B)</f>
        <v>Mouse_razer basilisk v3</v>
      </c>
    </row>
    <row r="121" spans="1:9" x14ac:dyDescent="0.25">
      <c r="A121" s="3">
        <v>1120</v>
      </c>
      <c r="B121" s="2">
        <v>45964</v>
      </c>
      <c r="C121" s="3">
        <v>45</v>
      </c>
      <c r="D121" s="3">
        <v>144</v>
      </c>
      <c r="E121" s="3">
        <v>2</v>
      </c>
      <c r="F121" s="6">
        <f>_xlfn.XLOOKUP(D121, Products!A:A,Products!E:E, )</f>
        <v>1600</v>
      </c>
      <c r="G121" s="5">
        <f t="shared" si="1"/>
        <v>3200</v>
      </c>
      <c r="H121" s="3" t="str">
        <f>_xlfn.XLOOKUP(C121,Customers!A:A,Customers!B:B)</f>
        <v xml:space="preserve"> Majed Abdullah</v>
      </c>
      <c r="I121" s="3" t="str">
        <f>_xlfn.XLOOKUP(D121,Products!A:A,Products!B:B)</f>
        <v>Dell UltraSharp U2723QE Monitor</v>
      </c>
    </row>
    <row r="122" spans="1:9" x14ac:dyDescent="0.25">
      <c r="A122" s="3">
        <v>1121</v>
      </c>
      <c r="B122" s="2">
        <v>45965</v>
      </c>
      <c r="C122" s="3">
        <v>33</v>
      </c>
      <c r="D122" s="3">
        <v>129</v>
      </c>
      <c r="E122" s="3">
        <v>2</v>
      </c>
      <c r="F122" s="6">
        <f>_xlfn.XLOOKUP(D122, Products!A:A,Products!E:E, )</f>
        <v>1000</v>
      </c>
      <c r="G122" s="5">
        <f t="shared" si="1"/>
        <v>2000</v>
      </c>
      <c r="H122" s="3" t="str">
        <f>_xlfn.XLOOKUP(C122,Customers!A:A,Customers!B:B)</f>
        <v xml:space="preserve"> Nawaf Abdullah</v>
      </c>
      <c r="I122" s="3" t="str">
        <f>_xlfn.XLOOKUP(D122,Products!A:A,Products!B:B)</f>
        <v>XPG GAMMIX S70 Blade Gen4 2TB</v>
      </c>
    </row>
    <row r="123" spans="1:9" x14ac:dyDescent="0.25">
      <c r="A123" s="3">
        <v>1122</v>
      </c>
      <c r="B123" s="2">
        <v>45965</v>
      </c>
      <c r="C123" s="3">
        <v>48</v>
      </c>
      <c r="D123" s="3">
        <v>109</v>
      </c>
      <c r="E123" s="3">
        <v>1</v>
      </c>
      <c r="F123" s="6">
        <f>_xlfn.XLOOKUP(D123, Products!A:A,Products!E:E, )</f>
        <v>1600</v>
      </c>
      <c r="G123" s="5">
        <f t="shared" si="1"/>
        <v>1600</v>
      </c>
      <c r="H123" s="3" t="str">
        <f>_xlfn.XLOOKUP(C123,Customers!A:A,Customers!B:B)</f>
        <v xml:space="preserve"> Abeer Saif</v>
      </c>
      <c r="I123" s="3" t="str">
        <f>_xlfn.XLOOKUP(D123,Products!A:A,Products!B:B)</f>
        <v>Xbox_One</v>
      </c>
    </row>
    <row r="124" spans="1:9" x14ac:dyDescent="0.25">
      <c r="A124" s="3">
        <v>1123</v>
      </c>
      <c r="B124" s="2">
        <v>45965</v>
      </c>
      <c r="C124" s="3">
        <v>1</v>
      </c>
      <c r="D124" s="3">
        <v>141</v>
      </c>
      <c r="E124" s="3">
        <v>2</v>
      </c>
      <c r="F124" s="6">
        <f>_xlfn.XLOOKUP(D124, Products!A:A,Products!E:E, )</f>
        <v>400</v>
      </c>
      <c r="G124" s="5">
        <f t="shared" si="1"/>
        <v>800</v>
      </c>
      <c r="H124" s="3" t="str">
        <f>_xlfn.XLOOKUP(C124,Customers!A:A,Customers!B:B)</f>
        <v>Mohammed Ali</v>
      </c>
      <c r="I124" s="3" t="str">
        <f>_xlfn.XLOOKUP(D124,Products!A:A,Products!B:B)</f>
        <v>Seagate Barracuda 2TB HDD</v>
      </c>
    </row>
    <row r="125" spans="1:9" x14ac:dyDescent="0.25">
      <c r="A125" s="3">
        <v>1124</v>
      </c>
      <c r="B125" s="2">
        <v>45965</v>
      </c>
      <c r="C125" s="3">
        <v>29</v>
      </c>
      <c r="D125" s="3">
        <v>108</v>
      </c>
      <c r="E125" s="3">
        <v>2</v>
      </c>
      <c r="F125" s="6">
        <f>_xlfn.XLOOKUP(D125, Products!A:A,Products!E:E, )</f>
        <v>400</v>
      </c>
      <c r="G125" s="5">
        <f t="shared" si="1"/>
        <v>800</v>
      </c>
      <c r="H125" s="3" t="str">
        <f>_xlfn.XLOOKUP(C125,Customers!A:A,Customers!B:B)</f>
        <v xml:space="preserve"> Fahad Turki</v>
      </c>
      <c r="I125" s="3" t="str">
        <f>_xlfn.XLOOKUP(D125,Products!A:A,Products!B:B)</f>
        <v>Logitech MX Pro  Mouse</v>
      </c>
    </row>
    <row r="126" spans="1:9" x14ac:dyDescent="0.25">
      <c r="A126" s="3">
        <v>1125</v>
      </c>
      <c r="B126" s="2">
        <v>45966</v>
      </c>
      <c r="C126" s="3">
        <v>60</v>
      </c>
      <c r="D126" s="3">
        <v>124</v>
      </c>
      <c r="E126" s="3">
        <v>1</v>
      </c>
      <c r="F126" s="6">
        <f>_xlfn.XLOOKUP(D126, Products!A:A,Products!E:E, )</f>
        <v>3300</v>
      </c>
      <c r="G126" s="5">
        <f t="shared" si="1"/>
        <v>3300</v>
      </c>
      <c r="H126" s="3" t="str">
        <f>_xlfn.XLOOKUP(C126,Customers!A:A,Customers!B:B)</f>
        <v xml:space="preserve"> Rawan Mazen</v>
      </c>
      <c r="I126" s="3" t="str">
        <f>_xlfn.XLOOKUP(D126,Products!A:A,Products!B:B)</f>
        <v>AMD Ryzen 9 9950X3D CPU</v>
      </c>
    </row>
    <row r="127" spans="1:9" x14ac:dyDescent="0.25">
      <c r="A127" s="3">
        <v>1126</v>
      </c>
      <c r="B127" s="2">
        <v>45966</v>
      </c>
      <c r="C127" s="3">
        <v>2</v>
      </c>
      <c r="D127" s="3">
        <v>106</v>
      </c>
      <c r="E127" s="3">
        <v>1</v>
      </c>
      <c r="F127" s="6">
        <f>_xlfn.XLOOKUP(D127, Products!A:A,Products!E:E, )</f>
        <v>800</v>
      </c>
      <c r="G127" s="5">
        <f t="shared" si="1"/>
        <v>800</v>
      </c>
      <c r="H127" s="3" t="str">
        <f>_xlfn.XLOOKUP(C127,Customers!A:A,Customers!B:B)</f>
        <v>Mona Salah</v>
      </c>
      <c r="I127" s="3" t="str">
        <f>_xlfn.XLOOKUP(D127,Products!A:A,Products!B:B)</f>
        <v>Mouse_razer basilisk v3</v>
      </c>
    </row>
    <row r="128" spans="1:9" x14ac:dyDescent="0.25">
      <c r="A128" s="3">
        <v>1127</v>
      </c>
      <c r="B128" s="2">
        <v>45967</v>
      </c>
      <c r="C128" s="3">
        <v>4</v>
      </c>
      <c r="D128" s="3">
        <v>117</v>
      </c>
      <c r="E128" s="3">
        <v>1</v>
      </c>
      <c r="F128" s="6">
        <f>_xlfn.XLOOKUP(D128, Products!A:A,Products!E:E, )</f>
        <v>900</v>
      </c>
      <c r="G128" s="5">
        <f t="shared" si="1"/>
        <v>900</v>
      </c>
      <c r="H128" s="3" t="str">
        <f>_xlfn.XLOOKUP(C128,Customers!A:A,Customers!B:B)</f>
        <v xml:space="preserve"> Sara Khalid</v>
      </c>
      <c r="I128" s="3" t="str">
        <f>_xlfn.XLOOKUP(D128,Products!A:A,Products!B:B)</f>
        <v>MSI GeForce RTX 3050</v>
      </c>
    </row>
    <row r="129" spans="1:9" x14ac:dyDescent="0.25">
      <c r="A129" s="3">
        <v>1128</v>
      </c>
      <c r="B129" s="2">
        <v>45968</v>
      </c>
      <c r="C129" s="3">
        <v>7</v>
      </c>
      <c r="D129" s="3">
        <v>100</v>
      </c>
      <c r="E129" s="3">
        <v>2</v>
      </c>
      <c r="F129" s="6">
        <f>_xlfn.XLOOKUP(D129, Products!A:A,Products!E:E, )</f>
        <v>1000</v>
      </c>
      <c r="G129" s="5">
        <f t="shared" si="1"/>
        <v>2000</v>
      </c>
      <c r="H129" s="3" t="str">
        <f>_xlfn.XLOOKUP(C129,Customers!A:A,Customers!B:B)</f>
        <v xml:space="preserve"> Faisal Mohammed</v>
      </c>
      <c r="I129" s="3" t="str">
        <f>_xlfn.XLOOKUP(D129,Products!A:A,Products!B:B)</f>
        <v>SteelSeries Arctis 7</v>
      </c>
    </row>
    <row r="130" spans="1:9" x14ac:dyDescent="0.25">
      <c r="A130" s="3">
        <v>1129</v>
      </c>
      <c r="B130" s="2">
        <v>45968</v>
      </c>
      <c r="C130" s="3">
        <v>13</v>
      </c>
      <c r="D130" s="3">
        <v>133</v>
      </c>
      <c r="E130" s="3">
        <v>1</v>
      </c>
      <c r="F130" s="6">
        <f>_xlfn.XLOOKUP(D130, Products!A:A,Products!E:E, )</f>
        <v>2200</v>
      </c>
      <c r="G130" s="5">
        <f t="shared" ref="G130:G193" si="2">E130 *F130</f>
        <v>2200</v>
      </c>
      <c r="H130" s="3" t="str">
        <f>_xlfn.XLOOKUP(C130,Customers!A:A,Customers!B:B)</f>
        <v xml:space="preserve"> Ahmed Faris</v>
      </c>
      <c r="I130" s="3" t="str">
        <f>_xlfn.XLOOKUP(D130,Products!A:A,Products!B:B)</f>
        <v>AMD Ryzen 9 7950X3D</v>
      </c>
    </row>
    <row r="131" spans="1:9" x14ac:dyDescent="0.25">
      <c r="A131" s="3">
        <v>1130</v>
      </c>
      <c r="B131" s="2">
        <v>45968</v>
      </c>
      <c r="C131" s="3">
        <v>16</v>
      </c>
      <c r="D131" s="3">
        <v>102</v>
      </c>
      <c r="E131" s="3">
        <v>1</v>
      </c>
      <c r="F131" s="6">
        <f>_xlfn.XLOOKUP(D131, Products!A:A,Products!E:E, )</f>
        <v>1800</v>
      </c>
      <c r="G131" s="5">
        <f t="shared" si="2"/>
        <v>1800</v>
      </c>
      <c r="H131" s="3" t="str">
        <f>_xlfn.XLOOKUP(C131,Customers!A:A,Customers!B:B)</f>
        <v xml:space="preserve"> Maha Yasin</v>
      </c>
      <c r="I131" s="3" t="str">
        <f>_xlfn.XLOOKUP(D131,Products!A:A,Products!B:B)</f>
        <v>Corsair HS50 Pro</v>
      </c>
    </row>
    <row r="132" spans="1:9" x14ac:dyDescent="0.25">
      <c r="A132" s="3">
        <v>1131</v>
      </c>
      <c r="B132" s="2">
        <v>45968</v>
      </c>
      <c r="C132" s="3">
        <v>24</v>
      </c>
      <c r="D132" s="3">
        <v>102</v>
      </c>
      <c r="E132" s="3">
        <v>2</v>
      </c>
      <c r="F132" s="6">
        <f>_xlfn.XLOOKUP(D132, Products!A:A,Products!E:E, )</f>
        <v>1800</v>
      </c>
      <c r="G132" s="5">
        <f t="shared" si="2"/>
        <v>3600</v>
      </c>
      <c r="H132" s="3" t="str">
        <f>_xlfn.XLOOKUP(C132,Customers!A:A,Customers!B:B)</f>
        <v xml:space="preserve"> Mona Hisham</v>
      </c>
      <c r="I132" s="3" t="str">
        <f>_xlfn.XLOOKUP(D132,Products!A:A,Products!B:B)</f>
        <v>Corsair HS50 Pro</v>
      </c>
    </row>
    <row r="133" spans="1:9" x14ac:dyDescent="0.25">
      <c r="A133" s="3">
        <v>1132</v>
      </c>
      <c r="B133" s="2">
        <v>45968</v>
      </c>
      <c r="C133" s="3">
        <v>32</v>
      </c>
      <c r="D133" s="3">
        <v>136</v>
      </c>
      <c r="E133" s="3">
        <v>2</v>
      </c>
      <c r="F133" s="6">
        <f>_xlfn.XLOOKUP(D133, Products!A:A,Products!E:E, )</f>
        <v>500</v>
      </c>
      <c r="G133" s="5">
        <f t="shared" si="2"/>
        <v>1000</v>
      </c>
      <c r="H133" s="3" t="str">
        <f>_xlfn.XLOOKUP(C133,Customers!A:A,Customers!B:B)</f>
        <v xml:space="preserve"> Rana Bilal</v>
      </c>
      <c r="I133" s="3" t="str">
        <f>_xlfn.XLOOKUP(D133,Products!A:A,Products!B:B)</f>
        <v>Razer Basilisk V3 Pro Mouse</v>
      </c>
    </row>
    <row r="134" spans="1:9" x14ac:dyDescent="0.25">
      <c r="A134" s="3">
        <v>1133</v>
      </c>
      <c r="B134" s="2">
        <v>45968</v>
      </c>
      <c r="C134" s="3">
        <v>31</v>
      </c>
      <c r="D134" s="3">
        <v>111</v>
      </c>
      <c r="E134" s="3">
        <v>2</v>
      </c>
      <c r="F134" s="6">
        <f>_xlfn.XLOOKUP(D134, Products!A:A,Products!E:E, )</f>
        <v>400</v>
      </c>
      <c r="G134" s="5">
        <f t="shared" si="2"/>
        <v>800</v>
      </c>
      <c r="H134" s="3" t="str">
        <f>_xlfn.XLOOKUP(C134,Customers!A:A,Customers!B:B)</f>
        <v xml:space="preserve"> Mohammed Aziz</v>
      </c>
      <c r="I134" s="3" t="str">
        <f>_xlfn.XLOOKUP(D134,Products!A:A,Products!B:B)</f>
        <v>XPG GAMMIX S60 Gen 4 NVME M.2 - Black - 512gb</v>
      </c>
    </row>
    <row r="135" spans="1:9" x14ac:dyDescent="0.25">
      <c r="A135" s="3">
        <v>1134</v>
      </c>
      <c r="B135" s="2">
        <v>45969</v>
      </c>
      <c r="C135" s="3">
        <v>61</v>
      </c>
      <c r="D135" s="3">
        <v>120</v>
      </c>
      <c r="E135" s="3">
        <v>1</v>
      </c>
      <c r="F135" s="6">
        <f>_xlfn.XLOOKUP(D135, Products!A:A,Products!E:E, )</f>
        <v>2000</v>
      </c>
      <c r="G135" s="5">
        <f t="shared" si="2"/>
        <v>2000</v>
      </c>
      <c r="H135" s="3" t="str">
        <f>_xlfn.XLOOKUP(C135,Customers!A:A,Customers!B:B)</f>
        <v xml:space="preserve"> Hamad Ibrahim</v>
      </c>
      <c r="I135" s="3" t="str">
        <f>_xlfn.XLOOKUP(D135,Products!A:A,Products!B:B)</f>
        <v>Intel Core i9-13900 CPU</v>
      </c>
    </row>
    <row r="136" spans="1:9" x14ac:dyDescent="0.25">
      <c r="A136" s="3">
        <v>1135</v>
      </c>
      <c r="B136" s="2">
        <v>45969</v>
      </c>
      <c r="C136" s="3">
        <v>62</v>
      </c>
      <c r="D136" s="3">
        <v>113</v>
      </c>
      <c r="E136" s="3">
        <v>1</v>
      </c>
      <c r="F136" s="6">
        <f>_xlfn.XLOOKUP(D136, Products!A:A,Products!E:E, )</f>
        <v>800</v>
      </c>
      <c r="G136" s="5">
        <f t="shared" si="2"/>
        <v>800</v>
      </c>
      <c r="H136" s="3" t="str">
        <f>_xlfn.XLOOKUP(C136,Customers!A:A,Customers!B:B)</f>
        <v xml:space="preserve"> Sawsan Akram</v>
      </c>
      <c r="I136" s="3" t="str">
        <f>_xlfn.XLOOKUP(D136,Products!A:A,Products!B:B)</f>
        <v>Samsung 990 EVO PLUS PCIe 4.0 NVMe M.2 - 1TB</v>
      </c>
    </row>
    <row r="137" spans="1:9" x14ac:dyDescent="0.25">
      <c r="A137" s="3">
        <v>1136</v>
      </c>
      <c r="B137" s="2">
        <v>45969</v>
      </c>
      <c r="C137" s="3">
        <v>63</v>
      </c>
      <c r="D137" s="3">
        <v>107</v>
      </c>
      <c r="E137" s="3">
        <v>1</v>
      </c>
      <c r="F137" s="6">
        <f>_xlfn.XLOOKUP(D137, Products!A:A,Products!E:E, )</f>
        <v>250</v>
      </c>
      <c r="G137" s="5">
        <f t="shared" si="2"/>
        <v>250</v>
      </c>
      <c r="H137" s="3" t="str">
        <f>_xlfn.XLOOKUP(C137,Customers!A:A,Customers!B:B)</f>
        <v xml:space="preserve"> Turki Salman</v>
      </c>
      <c r="I137" s="3" t="str">
        <f>_xlfn.XLOOKUP(D137,Products!A:A,Products!B:B)</f>
        <v>Logitech_G50</v>
      </c>
    </row>
    <row r="138" spans="1:9" x14ac:dyDescent="0.25">
      <c r="A138" s="3">
        <v>1137</v>
      </c>
      <c r="B138" s="2">
        <v>45970</v>
      </c>
      <c r="C138" s="3">
        <v>51</v>
      </c>
      <c r="D138" s="3">
        <v>114</v>
      </c>
      <c r="E138" s="3">
        <v>2</v>
      </c>
      <c r="F138" s="6">
        <f>_xlfn.XLOOKUP(D138, Products!A:A,Products!E:E, )</f>
        <v>1800</v>
      </c>
      <c r="G138" s="5">
        <f t="shared" si="2"/>
        <v>3600</v>
      </c>
      <c r="H138" s="3" t="str">
        <f>_xlfn.XLOOKUP(C138,Customers!A:A,Customers!B:B)</f>
        <v xml:space="preserve"> Abdulrahman Saeed</v>
      </c>
      <c r="I138" s="3" t="str">
        <f>_xlfn.XLOOKUP(D138,Products!A:A,Products!B:B)</f>
        <v>Palit GeForce RTX 5060 Infinity</v>
      </c>
    </row>
    <row r="139" spans="1:9" x14ac:dyDescent="0.25">
      <c r="A139" s="3">
        <v>1138</v>
      </c>
      <c r="B139" s="2">
        <v>45970</v>
      </c>
      <c r="C139" s="3">
        <v>57</v>
      </c>
      <c r="D139" s="3">
        <v>133</v>
      </c>
      <c r="E139" s="3">
        <v>2</v>
      </c>
      <c r="F139" s="6">
        <f>_xlfn.XLOOKUP(D139, Products!A:A,Products!E:E, )</f>
        <v>2200</v>
      </c>
      <c r="G139" s="5">
        <f t="shared" si="2"/>
        <v>4400</v>
      </c>
      <c r="H139" s="3" t="str">
        <f>_xlfn.XLOOKUP(C139,Customers!A:A,Customers!B:B)</f>
        <v xml:space="preserve"> Fahd Salem</v>
      </c>
      <c r="I139" s="3" t="str">
        <f>_xlfn.XLOOKUP(D139,Products!A:A,Products!B:B)</f>
        <v>AMD Ryzen 9 7950X3D</v>
      </c>
    </row>
    <row r="140" spans="1:9" x14ac:dyDescent="0.25">
      <c r="A140" s="3">
        <v>1139</v>
      </c>
      <c r="B140" s="2">
        <v>45970</v>
      </c>
      <c r="C140" s="3">
        <v>64</v>
      </c>
      <c r="D140" s="3">
        <v>111</v>
      </c>
      <c r="E140" s="3">
        <v>2</v>
      </c>
      <c r="F140" s="6">
        <f>_xlfn.XLOOKUP(D140, Products!A:A,Products!E:E, )</f>
        <v>400</v>
      </c>
      <c r="G140" s="5">
        <f t="shared" si="2"/>
        <v>800</v>
      </c>
      <c r="H140" s="3" t="str">
        <f>_xlfn.XLOOKUP(C140,Customers!A:A,Customers!B:B)</f>
        <v xml:space="preserve"> Mai Reda</v>
      </c>
      <c r="I140" s="3" t="str">
        <f>_xlfn.XLOOKUP(D140,Products!A:A,Products!B:B)</f>
        <v>XPG GAMMIX S60 Gen 4 NVME M.2 - Black - 512gb</v>
      </c>
    </row>
    <row r="141" spans="1:9" x14ac:dyDescent="0.25">
      <c r="A141" s="3">
        <v>1140</v>
      </c>
      <c r="B141" s="2">
        <v>45970</v>
      </c>
      <c r="C141" s="3">
        <v>48</v>
      </c>
      <c r="D141" s="3">
        <v>127</v>
      </c>
      <c r="E141" s="3">
        <v>1</v>
      </c>
      <c r="F141" s="6">
        <f>_xlfn.XLOOKUP(D141, Products!A:A,Products!E:E, )</f>
        <v>700</v>
      </c>
      <c r="G141" s="5">
        <f t="shared" si="2"/>
        <v>700</v>
      </c>
      <c r="H141" s="3" t="str">
        <f>_xlfn.XLOOKUP(C141,Customers!A:A,Customers!B:B)</f>
        <v xml:space="preserve"> Abeer Saif</v>
      </c>
      <c r="I141" s="3" t="str">
        <f>_xlfn.XLOOKUP(D141,Products!A:A,Products!B:B)</f>
        <v>Samsung 990 EVO PLUS 1TB NVMe</v>
      </c>
    </row>
    <row r="142" spans="1:9" x14ac:dyDescent="0.25">
      <c r="A142" s="3">
        <v>1141</v>
      </c>
      <c r="B142" s="2">
        <v>45971</v>
      </c>
      <c r="C142" s="3">
        <v>65</v>
      </c>
      <c r="D142" s="3">
        <v>141</v>
      </c>
      <c r="E142" s="3">
        <v>2</v>
      </c>
      <c r="F142" s="6">
        <f>_xlfn.XLOOKUP(D142, Products!A:A,Products!E:E, )</f>
        <v>400</v>
      </c>
      <c r="G142" s="5">
        <f t="shared" si="2"/>
        <v>800</v>
      </c>
      <c r="H142" s="3" t="str">
        <f>_xlfn.XLOOKUP(C142,Customers!A:A,Customers!B:B)</f>
        <v xml:space="preserve"> Adel Yaqoub</v>
      </c>
      <c r="I142" s="3" t="str">
        <f>_xlfn.XLOOKUP(D142,Products!A:A,Products!B:B)</f>
        <v>Seagate Barracuda 2TB HDD</v>
      </c>
    </row>
    <row r="143" spans="1:9" x14ac:dyDescent="0.25">
      <c r="A143" s="3">
        <v>1142</v>
      </c>
      <c r="B143" s="2">
        <v>45971</v>
      </c>
      <c r="C143" s="3">
        <v>37</v>
      </c>
      <c r="D143" s="3">
        <v>136</v>
      </c>
      <c r="E143" s="3">
        <v>2</v>
      </c>
      <c r="F143" s="6">
        <f>_xlfn.XLOOKUP(D143, Products!A:A,Products!E:E, )</f>
        <v>500</v>
      </c>
      <c r="G143" s="5">
        <f t="shared" si="2"/>
        <v>1000</v>
      </c>
      <c r="H143" s="3" t="str">
        <f>_xlfn.XLOOKUP(C143,Customers!A:A,Customers!B:B)</f>
        <v xml:space="preserve"> Abdulaziz Khalaf</v>
      </c>
      <c r="I143" s="3" t="str">
        <f>_xlfn.XLOOKUP(D143,Products!A:A,Products!B:B)</f>
        <v>Razer Basilisk V3 Pro Mouse</v>
      </c>
    </row>
    <row r="144" spans="1:9" x14ac:dyDescent="0.25">
      <c r="A144" s="3">
        <v>1143</v>
      </c>
      <c r="B144" s="2">
        <v>45971</v>
      </c>
      <c r="C144" s="3">
        <v>66</v>
      </c>
      <c r="D144" s="3">
        <v>127</v>
      </c>
      <c r="E144" s="3">
        <v>1</v>
      </c>
      <c r="F144" s="6">
        <f>_xlfn.XLOOKUP(D144, Products!A:A,Products!E:E, )</f>
        <v>700</v>
      </c>
      <c r="G144" s="5">
        <f t="shared" si="2"/>
        <v>700</v>
      </c>
      <c r="H144" s="3" t="str">
        <f>_xlfn.XLOOKUP(C144,Customers!A:A,Customers!B:B)</f>
        <v xml:space="preserve"> Suha Qais</v>
      </c>
      <c r="I144" s="3" t="str">
        <f>_xlfn.XLOOKUP(D144,Products!A:A,Products!B:B)</f>
        <v>Samsung 990 EVO PLUS 1TB NVMe</v>
      </c>
    </row>
    <row r="145" spans="1:9" x14ac:dyDescent="0.25">
      <c r="A145" s="3">
        <v>1144</v>
      </c>
      <c r="B145" s="2">
        <v>45971</v>
      </c>
      <c r="C145" s="3">
        <v>67</v>
      </c>
      <c r="D145" s="3">
        <v>123</v>
      </c>
      <c r="E145" s="3">
        <v>2</v>
      </c>
      <c r="F145" s="6">
        <f>_xlfn.XLOOKUP(D145, Products!A:A,Products!E:E, )</f>
        <v>1800</v>
      </c>
      <c r="G145" s="5">
        <f t="shared" si="2"/>
        <v>3600</v>
      </c>
      <c r="H145" s="3" t="str">
        <f>_xlfn.XLOOKUP(C145,Customers!A:A,Customers!B:B)</f>
        <v xml:space="preserve"> Bilal Farhan</v>
      </c>
      <c r="I145" s="3" t="str">
        <f>_xlfn.XLOOKUP(D145,Products!A:A,Products!B:B)</f>
        <v>AMD Ryzen 9 7900x CPU</v>
      </c>
    </row>
    <row r="146" spans="1:9" x14ac:dyDescent="0.25">
      <c r="A146" s="3">
        <v>1145</v>
      </c>
      <c r="B146" s="2">
        <v>45971</v>
      </c>
      <c r="C146" s="3">
        <v>22</v>
      </c>
      <c r="D146" s="3">
        <v>147</v>
      </c>
      <c r="E146" s="3">
        <v>1</v>
      </c>
      <c r="F146" s="6">
        <f>_xlfn.XLOOKUP(D146, Products!A:A,Products!E:E, )</f>
        <v>1900</v>
      </c>
      <c r="G146" s="5">
        <f t="shared" si="2"/>
        <v>1900</v>
      </c>
      <c r="H146" s="3" t="str">
        <f>_xlfn.XLOOKUP(C146,Customers!A:A,Customers!B:B)</f>
        <v xml:space="preserve"> Rania Sultan</v>
      </c>
      <c r="I146" s="3" t="str">
        <f>_xlfn.XLOOKUP(D146,Products!A:A,Products!B:B)</f>
        <v>ASUS TUF Gaming VG27AQ 165Hz</v>
      </c>
    </row>
    <row r="147" spans="1:9" x14ac:dyDescent="0.25">
      <c r="A147" s="3">
        <v>1146</v>
      </c>
      <c r="B147" s="2">
        <v>45971</v>
      </c>
      <c r="C147" s="3">
        <v>68</v>
      </c>
      <c r="D147" s="3">
        <v>124</v>
      </c>
      <c r="E147" s="3">
        <v>2</v>
      </c>
      <c r="F147" s="6">
        <f>_xlfn.XLOOKUP(D147, Products!A:A,Products!E:E, )</f>
        <v>3300</v>
      </c>
      <c r="G147" s="5">
        <f t="shared" si="2"/>
        <v>6600</v>
      </c>
      <c r="H147" s="3" t="str">
        <f>_xlfn.XLOOKUP(C147,Customers!A:A,Customers!B:B)</f>
        <v xml:space="preserve"> Rima Ziad</v>
      </c>
      <c r="I147" s="3" t="str">
        <f>_xlfn.XLOOKUP(D147,Products!A:A,Products!B:B)</f>
        <v>AMD Ryzen 9 9950X3D CPU</v>
      </c>
    </row>
    <row r="148" spans="1:9" x14ac:dyDescent="0.25">
      <c r="A148" s="3">
        <v>1147</v>
      </c>
      <c r="B148" s="2">
        <v>45971</v>
      </c>
      <c r="C148" s="3">
        <v>29</v>
      </c>
      <c r="D148" s="3">
        <v>131</v>
      </c>
      <c r="E148" s="3">
        <v>1</v>
      </c>
      <c r="F148" s="6">
        <f>_xlfn.XLOOKUP(D148, Products!A:A,Products!E:E, )</f>
        <v>3400</v>
      </c>
      <c r="G148" s="5">
        <f t="shared" si="2"/>
        <v>3400</v>
      </c>
      <c r="H148" s="3" t="str">
        <f>_xlfn.XLOOKUP(C148,Customers!A:A,Customers!B:B)</f>
        <v xml:space="preserve"> Fahad Turki</v>
      </c>
      <c r="I148" s="3" t="str">
        <f>_xlfn.XLOOKUP(D148,Products!A:A,Products!B:B)</f>
        <v>Sapphire Nitro+ RX 7900 XTX</v>
      </c>
    </row>
    <row r="149" spans="1:9" x14ac:dyDescent="0.25">
      <c r="A149" s="3">
        <v>1148</v>
      </c>
      <c r="B149" s="2">
        <v>45972</v>
      </c>
      <c r="C149" s="3">
        <v>69</v>
      </c>
      <c r="D149" s="3">
        <v>142</v>
      </c>
      <c r="E149" s="3">
        <v>1</v>
      </c>
      <c r="F149" s="6">
        <f>_xlfn.XLOOKUP(D149, Products!A:A,Products!E:E, )</f>
        <v>500</v>
      </c>
      <c r="G149" s="5">
        <f t="shared" si="2"/>
        <v>500</v>
      </c>
      <c r="H149" s="3" t="str">
        <f>_xlfn.XLOOKUP(C149,Customers!A:A,Customers!B:B)</f>
        <v xml:space="preserve"> Walid Ashraf</v>
      </c>
      <c r="I149" s="3" t="str">
        <f>_xlfn.XLOOKUP(D149,Products!A:A,Products!B:B)</f>
        <v>Apple Magic Keyboard</v>
      </c>
    </row>
    <row r="150" spans="1:9" x14ac:dyDescent="0.25">
      <c r="A150" s="3">
        <v>1149</v>
      </c>
      <c r="B150" s="2">
        <v>45973</v>
      </c>
      <c r="C150" s="3">
        <v>55</v>
      </c>
      <c r="D150" s="3">
        <v>115</v>
      </c>
      <c r="E150" s="3">
        <v>1</v>
      </c>
      <c r="F150" s="6">
        <f>_xlfn.XLOOKUP(D150, Products!A:A,Products!E:E, )</f>
        <v>3000</v>
      </c>
      <c r="G150" s="5">
        <f t="shared" si="2"/>
        <v>3000</v>
      </c>
      <c r="H150" s="3" t="str">
        <f>_xlfn.XLOOKUP(C150,Customers!A:A,Customers!B:B)</f>
        <v xml:space="preserve"> Nasser Hamad</v>
      </c>
      <c r="I150" s="3" t="str">
        <f>_xlfn.XLOOKUP(D150,Products!A:A,Products!B:B)</f>
        <v>Sapphire PULSE AMD Radeon RX 9070 XT 16GB GPU</v>
      </c>
    </row>
    <row r="151" spans="1:9" x14ac:dyDescent="0.25">
      <c r="A151" s="3">
        <v>1150</v>
      </c>
      <c r="B151" s="2">
        <v>45974</v>
      </c>
      <c r="C151" s="3">
        <v>44</v>
      </c>
      <c r="D151" s="3">
        <v>130</v>
      </c>
      <c r="E151" s="3">
        <v>2</v>
      </c>
      <c r="F151" s="6">
        <f>_xlfn.XLOOKUP(D151, Products!A:A,Products!E:E, )</f>
        <v>2250</v>
      </c>
      <c r="G151" s="5">
        <f t="shared" si="2"/>
        <v>4500</v>
      </c>
      <c r="H151" s="3" t="str">
        <f>_xlfn.XLOOKUP(C151,Customers!A:A,Customers!B:B)</f>
        <v xml:space="preserve"> Salma Yousif</v>
      </c>
      <c r="I151" s="3" t="str">
        <f>_xlfn.XLOOKUP(D151,Products!A:A,Products!B:B)</f>
        <v>MSI RTX 4070 Ti Super Gaming X</v>
      </c>
    </row>
    <row r="152" spans="1:9" x14ac:dyDescent="0.25">
      <c r="A152" s="3">
        <v>1151</v>
      </c>
      <c r="B152" s="2">
        <v>45975</v>
      </c>
      <c r="C152" s="3">
        <v>40</v>
      </c>
      <c r="D152" s="3">
        <v>135</v>
      </c>
      <c r="E152" s="3">
        <v>1</v>
      </c>
      <c r="F152" s="6">
        <f>_xlfn.XLOOKUP(D152, Products!A:A,Products!E:E, )</f>
        <v>1800</v>
      </c>
      <c r="G152" s="5">
        <f t="shared" si="2"/>
        <v>1800</v>
      </c>
      <c r="H152" s="3" t="str">
        <f>_xlfn.XLOOKUP(C152,Customers!A:A,Customers!B:B)</f>
        <v xml:space="preserve"> Nada Refaat</v>
      </c>
      <c r="I152" s="3" t="str">
        <f>_xlfn.XLOOKUP(D152,Products!A:A,Products!B:B)</f>
        <v>PlayStation-5 Digital Edition</v>
      </c>
    </row>
    <row r="153" spans="1:9" x14ac:dyDescent="0.25">
      <c r="A153" s="3">
        <v>1152</v>
      </c>
      <c r="B153" s="2">
        <v>45976</v>
      </c>
      <c r="C153" s="3">
        <v>70</v>
      </c>
      <c r="D153" s="3">
        <v>114</v>
      </c>
      <c r="E153" s="3">
        <v>2</v>
      </c>
      <c r="F153" s="6">
        <f>_xlfn.XLOOKUP(D153, Products!A:A,Products!E:E, )</f>
        <v>1800</v>
      </c>
      <c r="G153" s="5">
        <f t="shared" si="2"/>
        <v>3600</v>
      </c>
      <c r="H153" s="3" t="str">
        <f>_xlfn.XLOOKUP(C153,Customers!A:A,Customers!B:B)</f>
        <v xml:space="preserve"> Nourhan Fadi</v>
      </c>
      <c r="I153" s="3" t="str">
        <f>_xlfn.XLOOKUP(D153,Products!A:A,Products!B:B)</f>
        <v>Palit GeForce RTX 5060 Infinity</v>
      </c>
    </row>
    <row r="154" spans="1:9" x14ac:dyDescent="0.25">
      <c r="A154" s="3">
        <v>1153</v>
      </c>
      <c r="B154" s="2">
        <v>45976</v>
      </c>
      <c r="C154" s="3">
        <v>61</v>
      </c>
      <c r="D154" s="3">
        <v>122</v>
      </c>
      <c r="E154" s="3">
        <v>2</v>
      </c>
      <c r="F154" s="6">
        <f>_xlfn.XLOOKUP(D154, Products!A:A,Products!E:E, )</f>
        <v>1000</v>
      </c>
      <c r="G154" s="5">
        <f t="shared" si="2"/>
        <v>2000</v>
      </c>
      <c r="H154" s="3" t="str">
        <f>_xlfn.XLOOKUP(C154,Customers!A:A,Customers!B:B)</f>
        <v xml:space="preserve"> Hamad Ibrahim</v>
      </c>
      <c r="I154" s="3" t="str">
        <f>_xlfn.XLOOKUP(D154,Products!A:A,Products!B:B)</f>
        <v>AMD Ryzen 5 7600x CPU</v>
      </c>
    </row>
    <row r="155" spans="1:9" x14ac:dyDescent="0.25">
      <c r="A155" s="3">
        <v>1154</v>
      </c>
      <c r="B155" s="2">
        <v>45976</v>
      </c>
      <c r="C155" s="3">
        <v>54</v>
      </c>
      <c r="D155" s="3">
        <v>123</v>
      </c>
      <c r="E155" s="3">
        <v>2</v>
      </c>
      <c r="F155" s="6">
        <f>_xlfn.XLOOKUP(D155, Products!A:A,Products!E:E, )</f>
        <v>1800</v>
      </c>
      <c r="G155" s="5">
        <f t="shared" si="2"/>
        <v>3600</v>
      </c>
      <c r="H155" s="3" t="str">
        <f>_xlfn.XLOOKUP(C155,Customers!A:A,Customers!B:B)</f>
        <v xml:space="preserve"> Shatha Omar</v>
      </c>
      <c r="I155" s="3" t="str">
        <f>_xlfn.XLOOKUP(D155,Products!A:A,Products!B:B)</f>
        <v>AMD Ryzen 9 7900x CPU</v>
      </c>
    </row>
    <row r="156" spans="1:9" x14ac:dyDescent="0.25">
      <c r="A156" s="3">
        <v>1155</v>
      </c>
      <c r="B156" s="2">
        <v>45976</v>
      </c>
      <c r="C156" s="3">
        <v>71</v>
      </c>
      <c r="D156" s="3">
        <v>143</v>
      </c>
      <c r="E156" s="3">
        <v>1</v>
      </c>
      <c r="F156" s="6">
        <f>_xlfn.XLOOKUP(D156, Products!A:A,Products!E:E, )</f>
        <v>400</v>
      </c>
      <c r="G156" s="5">
        <f t="shared" si="2"/>
        <v>400</v>
      </c>
      <c r="H156" s="3" t="str">
        <f>_xlfn.XLOOKUP(C156,Customers!A:A,Customers!B:B)</f>
        <v xml:space="preserve"> Jamal Nasser</v>
      </c>
      <c r="I156" s="3" t="str">
        <f>_xlfn.XLOOKUP(D156,Products!A:A,Products!B:B)</f>
        <v>HP Pavilion Gaming Mouse 300</v>
      </c>
    </row>
    <row r="157" spans="1:9" x14ac:dyDescent="0.25">
      <c r="A157" s="3">
        <v>1156</v>
      </c>
      <c r="B157" s="2">
        <v>45977</v>
      </c>
      <c r="C157" s="3">
        <v>72</v>
      </c>
      <c r="D157" s="3">
        <v>105</v>
      </c>
      <c r="E157" s="3">
        <v>2</v>
      </c>
      <c r="F157" s="6">
        <f>_xlfn.XLOOKUP(D157, Products!A:A,Products!E:E, )</f>
        <v>700</v>
      </c>
      <c r="G157" s="5">
        <f t="shared" si="2"/>
        <v>1400</v>
      </c>
      <c r="H157" s="3" t="str">
        <f>_xlfn.XLOOKUP(C157,Customers!A:A,Customers!B:B)</f>
        <v xml:space="preserve"> Tasneem Hani</v>
      </c>
      <c r="I157" s="3" t="str">
        <f>_xlfn.XLOOKUP(D157,Products!A:A,Products!B:B)</f>
        <v>HyperX Cloud Alpha</v>
      </c>
    </row>
    <row r="158" spans="1:9" x14ac:dyDescent="0.25">
      <c r="A158" s="3">
        <v>1157</v>
      </c>
      <c r="B158" s="2">
        <v>45977</v>
      </c>
      <c r="C158" s="3">
        <v>73</v>
      </c>
      <c r="D158" s="3">
        <v>126</v>
      </c>
      <c r="E158" s="3">
        <v>2</v>
      </c>
      <c r="F158" s="6">
        <f>_xlfn.XLOOKUP(D158, Products!A:A,Products!E:E, )</f>
        <v>280</v>
      </c>
      <c r="G158" s="5">
        <f t="shared" si="2"/>
        <v>560</v>
      </c>
      <c r="H158" s="3" t="str">
        <f>_xlfn.XLOOKUP(C158,Customers!A:A,Customers!B:B)</f>
        <v xml:space="preserve"> Mishal Saud</v>
      </c>
      <c r="I158" s="3" t="str">
        <f>_xlfn.XLOOKUP(D158,Products!A:A,Products!B:B)</f>
        <v>Red-dragon K552 Mechanical Keyboard</v>
      </c>
    </row>
    <row r="159" spans="1:9" x14ac:dyDescent="0.25">
      <c r="A159" s="3">
        <v>1158</v>
      </c>
      <c r="B159" s="2">
        <v>45978</v>
      </c>
      <c r="C159" s="3">
        <v>67</v>
      </c>
      <c r="D159" s="3">
        <v>123</v>
      </c>
      <c r="E159" s="3">
        <v>1</v>
      </c>
      <c r="F159" s="6">
        <f>_xlfn.XLOOKUP(D159, Products!A:A,Products!E:E, )</f>
        <v>1800</v>
      </c>
      <c r="G159" s="5">
        <f t="shared" si="2"/>
        <v>1800</v>
      </c>
      <c r="H159" s="3" t="str">
        <f>_xlfn.XLOOKUP(C159,Customers!A:A,Customers!B:B)</f>
        <v xml:space="preserve"> Bilal Farhan</v>
      </c>
      <c r="I159" s="3" t="str">
        <f>_xlfn.XLOOKUP(D159,Products!A:A,Products!B:B)</f>
        <v>AMD Ryzen 9 7900x CPU</v>
      </c>
    </row>
    <row r="160" spans="1:9" x14ac:dyDescent="0.25">
      <c r="A160" s="3">
        <v>1159</v>
      </c>
      <c r="B160" s="2">
        <v>45978</v>
      </c>
      <c r="C160" s="3">
        <v>74</v>
      </c>
      <c r="D160" s="3">
        <v>145</v>
      </c>
      <c r="E160" s="3">
        <v>1</v>
      </c>
      <c r="F160" s="6">
        <f>_xlfn.XLOOKUP(D160, Products!A:A,Products!E:E, )</f>
        <v>1700</v>
      </c>
      <c r="G160" s="5">
        <f t="shared" si="2"/>
        <v>1700</v>
      </c>
      <c r="H160" s="3" t="str">
        <f>_xlfn.XLOOKUP(C160,Customers!A:A,Customers!B:B)</f>
        <v xml:space="preserve"> Ghada Bassam</v>
      </c>
      <c r="I160" s="3" t="str">
        <f>_xlfn.XLOOKUP(D160,Products!A:A,Products!B:B)</f>
        <v>Samsung Odyssey G5 27" QHD 144Hz</v>
      </c>
    </row>
    <row r="161" spans="1:9" x14ac:dyDescent="0.25">
      <c r="A161" s="3">
        <v>1160</v>
      </c>
      <c r="B161" s="2">
        <v>45978</v>
      </c>
      <c r="C161" s="3">
        <v>75</v>
      </c>
      <c r="D161" s="3">
        <v>145</v>
      </c>
      <c r="E161" s="3">
        <v>1</v>
      </c>
      <c r="F161" s="6">
        <f>_xlfn.XLOOKUP(D161, Products!A:A,Products!E:E, )</f>
        <v>1700</v>
      </c>
      <c r="G161" s="5">
        <f t="shared" si="2"/>
        <v>1700</v>
      </c>
      <c r="H161" s="3" t="str">
        <f>_xlfn.XLOOKUP(C161,Customers!A:A,Customers!B:B)</f>
        <v xml:space="preserve"> Riyadh Mansour</v>
      </c>
      <c r="I161" s="3" t="str">
        <f>_xlfn.XLOOKUP(D161,Products!A:A,Products!B:B)</f>
        <v>Samsung Odyssey G5 27" QHD 144Hz</v>
      </c>
    </row>
    <row r="162" spans="1:9" x14ac:dyDescent="0.25">
      <c r="A162" s="3">
        <v>1161</v>
      </c>
      <c r="B162" s="2">
        <v>45979</v>
      </c>
      <c r="C162" s="3">
        <v>34</v>
      </c>
      <c r="D162" s="3">
        <v>103</v>
      </c>
      <c r="E162" s="3">
        <v>2</v>
      </c>
      <c r="F162" s="6">
        <f>_xlfn.XLOOKUP(D162, Products!A:A,Products!E:E, )</f>
        <v>280</v>
      </c>
      <c r="G162" s="5">
        <f t="shared" si="2"/>
        <v>560</v>
      </c>
      <c r="H162" s="3" t="str">
        <f>_xlfn.XLOOKUP(C162,Customers!A:A,Customers!B:B)</f>
        <v xml:space="preserve"> Fatimah Kareem</v>
      </c>
      <c r="I162" s="3" t="str">
        <f>_xlfn.XLOOKUP(D162,Products!A:A,Products!B:B)</f>
        <v>Kayborad_Red_dragon</v>
      </c>
    </row>
    <row r="163" spans="1:9" x14ac:dyDescent="0.25">
      <c r="A163" s="3">
        <v>1162</v>
      </c>
      <c r="B163" s="2">
        <v>45979</v>
      </c>
      <c r="C163" s="3">
        <v>55</v>
      </c>
      <c r="D163" s="3">
        <v>140</v>
      </c>
      <c r="E163" s="3">
        <v>1</v>
      </c>
      <c r="F163" s="6">
        <f>_xlfn.XLOOKUP(D163, Products!A:A,Products!E:E, )</f>
        <v>500</v>
      </c>
      <c r="G163" s="5">
        <f t="shared" si="2"/>
        <v>500</v>
      </c>
      <c r="H163" s="3" t="str">
        <f>_xlfn.XLOOKUP(C163,Customers!A:A,Customers!B:B)</f>
        <v xml:space="preserve"> Nasser Hamad</v>
      </c>
      <c r="I163" s="3" t="str">
        <f>_xlfn.XLOOKUP(D163,Products!A:A,Products!B:B)</f>
        <v>WD Black SN850X 1TB</v>
      </c>
    </row>
    <row r="164" spans="1:9" x14ac:dyDescent="0.25">
      <c r="A164" s="3">
        <v>1163</v>
      </c>
      <c r="B164" s="2">
        <v>45980</v>
      </c>
      <c r="C164" s="3">
        <v>60</v>
      </c>
      <c r="D164" s="3">
        <v>108</v>
      </c>
      <c r="E164" s="3">
        <v>1</v>
      </c>
      <c r="F164" s="6">
        <f>_xlfn.XLOOKUP(D164, Products!A:A,Products!E:E, )</f>
        <v>400</v>
      </c>
      <c r="G164" s="5">
        <f t="shared" si="2"/>
        <v>400</v>
      </c>
      <c r="H164" s="3" t="str">
        <f>_xlfn.XLOOKUP(C164,Customers!A:A,Customers!B:B)</f>
        <v xml:space="preserve"> Rawan Mazen</v>
      </c>
      <c r="I164" s="3" t="str">
        <f>_xlfn.XLOOKUP(D164,Products!A:A,Products!B:B)</f>
        <v>Logitech MX Pro  Mouse</v>
      </c>
    </row>
    <row r="165" spans="1:9" x14ac:dyDescent="0.25">
      <c r="A165" s="3">
        <v>1164</v>
      </c>
      <c r="B165" s="2">
        <v>45980</v>
      </c>
      <c r="C165" s="3">
        <v>20</v>
      </c>
      <c r="D165" s="3">
        <v>137</v>
      </c>
      <c r="E165" s="3">
        <v>2</v>
      </c>
      <c r="F165" s="6">
        <f>_xlfn.XLOOKUP(D165, Products!A:A,Products!E:E, )</f>
        <v>650</v>
      </c>
      <c r="G165" s="5">
        <f t="shared" si="2"/>
        <v>1300</v>
      </c>
      <c r="H165" s="3" t="str">
        <f>_xlfn.XLOOKUP(C165,Customers!A:A,Customers!B:B)</f>
        <v xml:space="preserve"> Noura Majed</v>
      </c>
      <c r="I165" s="3" t="str">
        <f>_xlfn.XLOOKUP(D165,Products!A:A,Products!B:B)</f>
        <v>ASUS TUF Gaming B650-PLUS</v>
      </c>
    </row>
    <row r="166" spans="1:9" x14ac:dyDescent="0.25">
      <c r="A166" s="3">
        <v>1165</v>
      </c>
      <c r="B166" s="2">
        <v>45980</v>
      </c>
      <c r="C166" s="3">
        <v>40</v>
      </c>
      <c r="D166" s="3">
        <v>115</v>
      </c>
      <c r="E166" s="3">
        <v>2</v>
      </c>
      <c r="F166" s="6">
        <f>_xlfn.XLOOKUP(D166, Products!A:A,Products!E:E, )</f>
        <v>3000</v>
      </c>
      <c r="G166" s="5">
        <f t="shared" si="2"/>
        <v>6000</v>
      </c>
      <c r="H166" s="3" t="str">
        <f>_xlfn.XLOOKUP(C166,Customers!A:A,Customers!B:B)</f>
        <v xml:space="preserve"> Nada Refaat</v>
      </c>
      <c r="I166" s="3" t="str">
        <f>_xlfn.XLOOKUP(D166,Products!A:A,Products!B:B)</f>
        <v>Sapphire PULSE AMD Radeon RX 9070 XT 16GB GPU</v>
      </c>
    </row>
    <row r="167" spans="1:9" x14ac:dyDescent="0.25">
      <c r="A167" s="3">
        <v>1166</v>
      </c>
      <c r="B167" s="2">
        <v>45980</v>
      </c>
      <c r="C167" s="3">
        <v>32</v>
      </c>
      <c r="D167" s="3">
        <v>120</v>
      </c>
      <c r="E167" s="3">
        <v>1</v>
      </c>
      <c r="F167" s="6">
        <f>_xlfn.XLOOKUP(D167, Products!A:A,Products!E:E, )</f>
        <v>2000</v>
      </c>
      <c r="G167" s="5">
        <f t="shared" si="2"/>
        <v>2000</v>
      </c>
      <c r="H167" s="3" t="str">
        <f>_xlfn.XLOOKUP(C167,Customers!A:A,Customers!B:B)</f>
        <v xml:space="preserve"> Rana Bilal</v>
      </c>
      <c r="I167" s="3" t="str">
        <f>_xlfn.XLOOKUP(D167,Products!A:A,Products!B:B)</f>
        <v>Intel Core i9-13900 CPU</v>
      </c>
    </row>
    <row r="168" spans="1:9" x14ac:dyDescent="0.25">
      <c r="A168" s="3">
        <v>1167</v>
      </c>
      <c r="B168" s="2">
        <v>45980</v>
      </c>
      <c r="C168" s="3">
        <v>50</v>
      </c>
      <c r="D168" s="3">
        <v>106</v>
      </c>
      <c r="E168" s="3">
        <v>2</v>
      </c>
      <c r="F168" s="6">
        <f>_xlfn.XLOOKUP(D168, Products!A:A,Products!E:E, )</f>
        <v>800</v>
      </c>
      <c r="G168" s="5">
        <f t="shared" si="2"/>
        <v>1600</v>
      </c>
      <c r="H168" s="3" t="str">
        <f>_xlfn.XLOOKUP(C168,Customers!A:A,Customers!B:B)</f>
        <v xml:space="preserve"> Hanan Adel</v>
      </c>
      <c r="I168" s="3" t="str">
        <f>_xlfn.XLOOKUP(D168,Products!A:A,Products!B:B)</f>
        <v>Mouse_razer basilisk v3</v>
      </c>
    </row>
    <row r="169" spans="1:9" x14ac:dyDescent="0.25">
      <c r="A169" s="3">
        <v>1168</v>
      </c>
      <c r="B169" s="2">
        <v>45981</v>
      </c>
      <c r="C169" s="3">
        <v>76</v>
      </c>
      <c r="D169" s="3">
        <v>110</v>
      </c>
      <c r="E169" s="3">
        <v>1</v>
      </c>
      <c r="F169" s="6">
        <f>_xlfn.XLOOKUP(D169, Products!A:A,Products!E:E, )</f>
        <v>1200</v>
      </c>
      <c r="G169" s="5">
        <f t="shared" si="2"/>
        <v>1200</v>
      </c>
      <c r="H169" s="3" t="str">
        <f>_xlfn.XLOOKUP(C169,Customers!A:A,Customers!B:B)</f>
        <v xml:space="preserve"> Lama Aref</v>
      </c>
      <c r="I169" s="3" t="str">
        <f>_xlfn.XLOOKUP(D169,Products!A:A,Products!B:B)</f>
        <v>XPG Gammix S70 Blade Gen 4 M.2 - 2TB</v>
      </c>
    </row>
    <row r="170" spans="1:9" x14ac:dyDescent="0.25">
      <c r="A170" s="3">
        <v>1169</v>
      </c>
      <c r="B170" s="2">
        <v>45981</v>
      </c>
      <c r="C170" s="3">
        <v>77</v>
      </c>
      <c r="D170" s="3">
        <v>108</v>
      </c>
      <c r="E170" s="3">
        <v>1</v>
      </c>
      <c r="F170" s="6">
        <f>_xlfn.XLOOKUP(D170, Products!A:A,Products!E:E, )</f>
        <v>400</v>
      </c>
      <c r="G170" s="5">
        <f t="shared" si="2"/>
        <v>400</v>
      </c>
      <c r="H170" s="3" t="str">
        <f>_xlfn.XLOOKUP(C170,Customers!A:A,Customers!B:B)</f>
        <v xml:space="preserve"> Anas Qudsi</v>
      </c>
      <c r="I170" s="3" t="str">
        <f>_xlfn.XLOOKUP(D170,Products!A:A,Products!B:B)</f>
        <v>Logitech MX Pro  Mouse</v>
      </c>
    </row>
    <row r="171" spans="1:9" x14ac:dyDescent="0.25">
      <c r="A171" s="3">
        <v>1170</v>
      </c>
      <c r="B171" s="2">
        <v>45981</v>
      </c>
      <c r="C171" s="3">
        <v>78</v>
      </c>
      <c r="D171" s="3">
        <v>135</v>
      </c>
      <c r="E171" s="3">
        <v>1</v>
      </c>
      <c r="F171" s="6">
        <f>_xlfn.XLOOKUP(D171, Products!A:A,Products!E:E, )</f>
        <v>1800</v>
      </c>
      <c r="G171" s="5">
        <f t="shared" si="2"/>
        <v>1800</v>
      </c>
      <c r="H171" s="3" t="str">
        <f>_xlfn.XLOOKUP(C171,Customers!A:A,Customers!B:B)</f>
        <v xml:space="preserve"> Amani Lutfi</v>
      </c>
      <c r="I171" s="3" t="str">
        <f>_xlfn.XLOOKUP(D171,Products!A:A,Products!B:B)</f>
        <v>PlayStation-5 Digital Edition</v>
      </c>
    </row>
    <row r="172" spans="1:9" x14ac:dyDescent="0.25">
      <c r="A172" s="3">
        <v>1171</v>
      </c>
      <c r="B172" s="2">
        <v>45981</v>
      </c>
      <c r="C172" s="3">
        <v>12</v>
      </c>
      <c r="D172" s="3">
        <v>105</v>
      </c>
      <c r="E172" s="3">
        <v>1</v>
      </c>
      <c r="F172" s="6">
        <f>_xlfn.XLOOKUP(D172, Products!A:A,Products!E:E, )</f>
        <v>700</v>
      </c>
      <c r="G172" s="5">
        <f t="shared" si="2"/>
        <v>700</v>
      </c>
      <c r="H172" s="3" t="str">
        <f>_xlfn.XLOOKUP(C172,Customers!A:A,Customers!B:B)</f>
        <v xml:space="preserve"> Huda Saleh</v>
      </c>
      <c r="I172" s="3" t="str">
        <f>_xlfn.XLOOKUP(D172,Products!A:A,Products!B:B)</f>
        <v>HyperX Cloud Alpha</v>
      </c>
    </row>
    <row r="173" spans="1:9" x14ac:dyDescent="0.25">
      <c r="A173" s="3">
        <v>1172</v>
      </c>
      <c r="B173" s="2">
        <v>45982</v>
      </c>
      <c r="C173" s="3">
        <v>19</v>
      </c>
      <c r="D173" s="3">
        <v>138</v>
      </c>
      <c r="E173" s="3">
        <v>2</v>
      </c>
      <c r="F173" s="6">
        <f>_xlfn.XLOOKUP(D173, Products!A:A,Products!E:E, )</f>
        <v>1700</v>
      </c>
      <c r="G173" s="5">
        <f t="shared" si="2"/>
        <v>3400</v>
      </c>
      <c r="H173" s="3" t="str">
        <f>_xlfn.XLOOKUP(C173,Customers!A:A,Customers!B:B)</f>
        <v xml:space="preserve"> Ibrahim Tarek</v>
      </c>
      <c r="I173" s="3" t="str">
        <f>_xlfn.XLOOKUP(D173,Products!A:A,Products!B:B)</f>
        <v>Corsair Vengeance LPX 32GB DDR4</v>
      </c>
    </row>
    <row r="174" spans="1:9" x14ac:dyDescent="0.25">
      <c r="A174" s="3">
        <v>1173</v>
      </c>
      <c r="B174" s="2">
        <v>45982</v>
      </c>
      <c r="C174" s="3">
        <v>79</v>
      </c>
      <c r="D174" s="3">
        <v>147</v>
      </c>
      <c r="E174" s="3">
        <v>2</v>
      </c>
      <c r="F174" s="6">
        <f>_xlfn.XLOOKUP(D174, Products!A:A,Products!E:E, )</f>
        <v>1900</v>
      </c>
      <c r="G174" s="5">
        <f t="shared" si="2"/>
        <v>3800</v>
      </c>
      <c r="H174" s="3" t="str">
        <f>_xlfn.XLOOKUP(C174,Customers!A:A,Customers!B:B)</f>
        <v xml:space="preserve"> Bader Hilal</v>
      </c>
      <c r="I174" s="3" t="str">
        <f>_xlfn.XLOOKUP(D174,Products!A:A,Products!B:B)</f>
        <v>ASUS TUF Gaming VG27AQ 165Hz</v>
      </c>
    </row>
    <row r="175" spans="1:9" x14ac:dyDescent="0.25">
      <c r="A175" s="3">
        <v>1174</v>
      </c>
      <c r="B175" s="2">
        <v>45982</v>
      </c>
      <c r="C175" s="3">
        <v>10</v>
      </c>
      <c r="D175" s="3">
        <v>119</v>
      </c>
      <c r="E175" s="3">
        <v>2</v>
      </c>
      <c r="F175" s="6">
        <f>_xlfn.XLOOKUP(D175, Products!A:A,Products!E:E, )</f>
        <v>1400</v>
      </c>
      <c r="G175" s="5">
        <f t="shared" si="2"/>
        <v>2800</v>
      </c>
      <c r="H175" s="3" t="str">
        <f>_xlfn.XLOOKUP(C175,Customers!A:A,Customers!B:B)</f>
        <v xml:space="preserve"> Lina Abdulrahman</v>
      </c>
      <c r="I175" s="3" t="str">
        <f>_xlfn.XLOOKUP(D175,Products!A:A,Products!B:B)</f>
        <v>Intel Core i7-13700 CPU</v>
      </c>
    </row>
    <row r="176" spans="1:9" x14ac:dyDescent="0.25">
      <c r="A176" s="3">
        <v>1175</v>
      </c>
      <c r="B176" s="2">
        <v>45982</v>
      </c>
      <c r="C176" s="3">
        <v>80</v>
      </c>
      <c r="D176" s="3">
        <v>136</v>
      </c>
      <c r="E176" s="3">
        <v>2</v>
      </c>
      <c r="F176" s="6">
        <f>_xlfn.XLOOKUP(D176, Products!A:A,Products!E:E, )</f>
        <v>500</v>
      </c>
      <c r="G176" s="5">
        <f t="shared" si="2"/>
        <v>1000</v>
      </c>
      <c r="H176" s="3" t="str">
        <f>_xlfn.XLOOKUP(C176,Customers!A:A,Customers!B:B)</f>
        <v xml:space="preserve"> Farah Issa</v>
      </c>
      <c r="I176" s="3" t="str">
        <f>_xlfn.XLOOKUP(D176,Products!A:A,Products!B:B)</f>
        <v>Razer Basilisk V3 Pro Mouse</v>
      </c>
    </row>
    <row r="177" spans="1:9" x14ac:dyDescent="0.25">
      <c r="A177" s="3">
        <v>1176</v>
      </c>
      <c r="B177" s="2">
        <v>45983</v>
      </c>
      <c r="C177" s="3">
        <v>80</v>
      </c>
      <c r="D177" s="3">
        <v>111</v>
      </c>
      <c r="E177" s="3">
        <v>1</v>
      </c>
      <c r="F177" s="6">
        <f>_xlfn.XLOOKUP(D177, Products!A:A,Products!E:E, )</f>
        <v>400</v>
      </c>
      <c r="G177" s="5">
        <f t="shared" si="2"/>
        <v>400</v>
      </c>
      <c r="H177" s="3" t="str">
        <f>_xlfn.XLOOKUP(C177,Customers!A:A,Customers!B:B)</f>
        <v xml:space="preserve"> Farah Issa</v>
      </c>
      <c r="I177" s="3" t="str">
        <f>_xlfn.XLOOKUP(D177,Products!A:A,Products!B:B)</f>
        <v>XPG GAMMIX S60 Gen 4 NVME M.2 - Black - 512gb</v>
      </c>
    </row>
    <row r="178" spans="1:9" x14ac:dyDescent="0.25">
      <c r="A178" s="3">
        <v>1177</v>
      </c>
      <c r="B178" s="2">
        <v>45983</v>
      </c>
      <c r="C178" s="3">
        <v>81</v>
      </c>
      <c r="D178" s="3">
        <v>115</v>
      </c>
      <c r="E178" s="3">
        <v>2</v>
      </c>
      <c r="F178" s="6">
        <f>_xlfn.XLOOKUP(D178, Products!A:A,Products!E:E, )</f>
        <v>3000</v>
      </c>
      <c r="G178" s="5">
        <f t="shared" si="2"/>
        <v>6000</v>
      </c>
      <c r="H178" s="3" t="str">
        <f>_xlfn.XLOOKUP(C178,Customers!A:A,Customers!B:B)</f>
        <v xml:space="preserve"> Haytham Rami</v>
      </c>
      <c r="I178" s="3" t="str">
        <f>_xlfn.XLOOKUP(D178,Products!A:A,Products!B:B)</f>
        <v>Sapphire PULSE AMD Radeon RX 9070 XT 16GB GPU</v>
      </c>
    </row>
    <row r="179" spans="1:9" x14ac:dyDescent="0.25">
      <c r="A179" s="3">
        <v>1178</v>
      </c>
      <c r="B179" s="2">
        <v>45983</v>
      </c>
      <c r="C179" s="3">
        <v>11</v>
      </c>
      <c r="D179" s="3">
        <v>144</v>
      </c>
      <c r="E179" s="3">
        <v>2</v>
      </c>
      <c r="F179" s="6">
        <f>_xlfn.XLOOKUP(D179, Products!A:A,Products!E:E, )</f>
        <v>1600</v>
      </c>
      <c r="G179" s="5">
        <f t="shared" si="2"/>
        <v>3200</v>
      </c>
      <c r="H179" s="3" t="str">
        <f>_xlfn.XLOOKUP(C179,Customers!A:A,Customers!B:B)</f>
        <v xml:space="preserve"> Youssef Nasser</v>
      </c>
      <c r="I179" s="3" t="str">
        <f>_xlfn.XLOOKUP(D179,Products!A:A,Products!B:B)</f>
        <v>Dell UltraSharp U2723QE Monitor</v>
      </c>
    </row>
    <row r="180" spans="1:9" x14ac:dyDescent="0.25">
      <c r="A180" s="3">
        <v>1179</v>
      </c>
      <c r="B180" s="2">
        <v>45983</v>
      </c>
      <c r="C180" s="3">
        <v>11</v>
      </c>
      <c r="D180" s="3">
        <v>104</v>
      </c>
      <c r="E180" s="3">
        <v>1</v>
      </c>
      <c r="F180" s="6">
        <f>_xlfn.XLOOKUP(D180, Products!A:A,Products!E:E, )</f>
        <v>500</v>
      </c>
      <c r="G180" s="5">
        <f t="shared" si="2"/>
        <v>500</v>
      </c>
      <c r="H180" s="3" t="str">
        <f>_xlfn.XLOOKUP(C180,Customers!A:A,Customers!B:B)</f>
        <v xml:space="preserve"> Youssef Nasser</v>
      </c>
      <c r="I180" s="3" t="str">
        <f>_xlfn.XLOOKUP(D180,Products!A:A,Products!B:B)</f>
        <v>Kayboard_Razer_Tartrus</v>
      </c>
    </row>
    <row r="181" spans="1:9" x14ac:dyDescent="0.25">
      <c r="A181" s="3">
        <v>1180</v>
      </c>
      <c r="B181" s="2">
        <v>45984</v>
      </c>
      <c r="C181" s="3">
        <v>82</v>
      </c>
      <c r="D181" s="3">
        <v>146</v>
      </c>
      <c r="E181" s="3">
        <v>2</v>
      </c>
      <c r="F181" s="6">
        <f>_xlfn.XLOOKUP(D181, Products!A:A,Products!E:E, )</f>
        <v>1800</v>
      </c>
      <c r="G181" s="5">
        <f t="shared" si="2"/>
        <v>3600</v>
      </c>
      <c r="H181" s="3" t="str">
        <f>_xlfn.XLOOKUP(C181,Customers!A:A,Customers!B:B)</f>
        <v xml:space="preserve"> Najlaa Sami</v>
      </c>
      <c r="I181" s="3" t="str">
        <f>_xlfn.XLOOKUP(D181,Products!A:A,Products!B:B)</f>
        <v>LG UltraGear 27GP850-B 165Hz</v>
      </c>
    </row>
    <row r="182" spans="1:9" x14ac:dyDescent="0.25">
      <c r="A182" s="3">
        <v>1181</v>
      </c>
      <c r="B182" s="2">
        <v>45984</v>
      </c>
      <c r="C182" s="3">
        <v>83</v>
      </c>
      <c r="D182" s="3">
        <v>127</v>
      </c>
      <c r="E182" s="3">
        <v>2</v>
      </c>
      <c r="F182" s="6">
        <f>_xlfn.XLOOKUP(D182, Products!A:A,Products!E:E, )</f>
        <v>700</v>
      </c>
      <c r="G182" s="5">
        <f t="shared" si="2"/>
        <v>1400</v>
      </c>
      <c r="H182" s="3" t="str">
        <f>_xlfn.XLOOKUP(C182,Customers!A:A,Customers!B:B)</f>
        <v xml:space="preserve"> Marwan Tawfiq</v>
      </c>
      <c r="I182" s="3" t="str">
        <f>_xlfn.XLOOKUP(D182,Products!A:A,Products!B:B)</f>
        <v>Samsung 990 EVO PLUS 1TB NVMe</v>
      </c>
    </row>
    <row r="183" spans="1:9" x14ac:dyDescent="0.25">
      <c r="A183" s="3">
        <v>1182</v>
      </c>
      <c r="B183" s="2">
        <v>45984</v>
      </c>
      <c r="C183" s="3">
        <v>84</v>
      </c>
      <c r="D183" s="3">
        <v>136</v>
      </c>
      <c r="E183" s="3">
        <v>2</v>
      </c>
      <c r="F183" s="6">
        <f>_xlfn.XLOOKUP(D183, Products!A:A,Products!E:E, )</f>
        <v>500</v>
      </c>
      <c r="G183" s="5">
        <f t="shared" si="2"/>
        <v>1000</v>
      </c>
      <c r="H183" s="3" t="str">
        <f>_xlfn.XLOOKUP(C183,Customers!A:A,Customers!B:B)</f>
        <v xml:space="preserve"> Duaa Munir</v>
      </c>
      <c r="I183" s="3" t="str">
        <f>_xlfn.XLOOKUP(D183,Products!A:A,Products!B:B)</f>
        <v>Razer Basilisk V3 Pro Mouse</v>
      </c>
    </row>
    <row r="184" spans="1:9" x14ac:dyDescent="0.25">
      <c r="A184" s="3">
        <v>1183</v>
      </c>
      <c r="B184" s="2">
        <v>45984</v>
      </c>
      <c r="C184" s="3">
        <v>7</v>
      </c>
      <c r="D184" s="3">
        <v>103</v>
      </c>
      <c r="E184" s="3">
        <v>2</v>
      </c>
      <c r="F184" s="6">
        <f>_xlfn.XLOOKUP(D184, Products!A:A,Products!E:E, )</f>
        <v>280</v>
      </c>
      <c r="G184" s="5">
        <f t="shared" si="2"/>
        <v>560</v>
      </c>
      <c r="H184" s="3" t="str">
        <f>_xlfn.XLOOKUP(C184,Customers!A:A,Customers!B:B)</f>
        <v xml:space="preserve"> Faisal Mohammed</v>
      </c>
      <c r="I184" s="3" t="str">
        <f>_xlfn.XLOOKUP(D184,Products!A:A,Products!B:B)</f>
        <v>Kayborad_Red_dragon</v>
      </c>
    </row>
    <row r="185" spans="1:9" x14ac:dyDescent="0.25">
      <c r="A185" s="3">
        <v>1184</v>
      </c>
      <c r="B185" s="2">
        <v>45984</v>
      </c>
      <c r="C185" s="3">
        <v>7</v>
      </c>
      <c r="D185" s="3">
        <v>121</v>
      </c>
      <c r="E185" s="3">
        <v>2</v>
      </c>
      <c r="F185" s="6">
        <f>_xlfn.XLOOKUP(D185, Products!A:A,Products!E:E, )</f>
        <v>1500</v>
      </c>
      <c r="G185" s="5">
        <f t="shared" si="2"/>
        <v>3000</v>
      </c>
      <c r="H185" s="3" t="str">
        <f>_xlfn.XLOOKUP(C185,Customers!A:A,Customers!B:B)</f>
        <v xml:space="preserve"> Faisal Mohammed</v>
      </c>
      <c r="I185" s="3" t="str">
        <f>_xlfn.XLOOKUP(D185,Products!A:A,Products!B:B)</f>
        <v>Intel Core Ultra 7 265KF Tray CPU</v>
      </c>
    </row>
    <row r="186" spans="1:9" x14ac:dyDescent="0.25">
      <c r="A186" s="3">
        <v>1185</v>
      </c>
      <c r="B186" s="2">
        <v>45984</v>
      </c>
      <c r="C186" s="3">
        <v>70</v>
      </c>
      <c r="D186" s="3">
        <v>116</v>
      </c>
      <c r="E186" s="3">
        <v>1</v>
      </c>
      <c r="F186" s="6">
        <f>_xlfn.XLOOKUP(D186, Products!A:A,Products!E:E, )</f>
        <v>2002</v>
      </c>
      <c r="G186" s="5">
        <f t="shared" si="2"/>
        <v>2002</v>
      </c>
      <c r="H186" s="3" t="str">
        <f>_xlfn.XLOOKUP(C186,Customers!A:A,Customers!B:B)</f>
        <v xml:space="preserve"> Nourhan Fadi</v>
      </c>
      <c r="I186" s="3" t="str">
        <f>_xlfn.XLOOKUP(D186,Products!A:A,Products!B:B)</f>
        <v>PNY GeForce RTX 5060 Ti ARGB OC Triple Fan</v>
      </c>
    </row>
    <row r="187" spans="1:9" x14ac:dyDescent="0.25">
      <c r="A187" s="3">
        <v>1186</v>
      </c>
      <c r="B187" s="2">
        <v>45985</v>
      </c>
      <c r="C187" s="3">
        <v>78</v>
      </c>
      <c r="D187" s="3">
        <v>128</v>
      </c>
      <c r="E187" s="3">
        <v>1</v>
      </c>
      <c r="F187" s="6">
        <f>_xlfn.XLOOKUP(D187, Products!A:A,Products!E:E, )</f>
        <v>300</v>
      </c>
      <c r="G187" s="5">
        <f t="shared" si="2"/>
        <v>300</v>
      </c>
      <c r="H187" s="3" t="str">
        <f>_xlfn.XLOOKUP(C187,Customers!A:A,Customers!B:B)</f>
        <v xml:space="preserve"> Amani Lutfi</v>
      </c>
      <c r="I187" s="3" t="str">
        <f>_xlfn.XLOOKUP(D187,Products!A:A,Products!B:B)</f>
        <v>Crucial P3 Plus 500GB</v>
      </c>
    </row>
    <row r="188" spans="1:9" x14ac:dyDescent="0.25">
      <c r="A188" s="3">
        <v>1187</v>
      </c>
      <c r="B188" s="2">
        <v>45986</v>
      </c>
      <c r="C188" s="3">
        <v>43</v>
      </c>
      <c r="D188" s="3">
        <v>122</v>
      </c>
      <c r="E188" s="3">
        <v>2</v>
      </c>
      <c r="F188" s="6">
        <f>_xlfn.XLOOKUP(D188, Products!A:A,Products!E:E, )</f>
        <v>1000</v>
      </c>
      <c r="G188" s="5">
        <f t="shared" si="2"/>
        <v>2000</v>
      </c>
      <c r="H188" s="3" t="str">
        <f>_xlfn.XLOOKUP(C188,Customers!A:A,Customers!B:B)</f>
        <v xml:space="preserve"> Tariq Abdulaziz</v>
      </c>
      <c r="I188" s="3" t="str">
        <f>_xlfn.XLOOKUP(D188,Products!A:A,Products!B:B)</f>
        <v>AMD Ryzen 5 7600x CPU</v>
      </c>
    </row>
    <row r="189" spans="1:9" x14ac:dyDescent="0.25">
      <c r="A189" s="3">
        <v>1188</v>
      </c>
      <c r="B189" s="2">
        <v>45987</v>
      </c>
      <c r="C189" s="3">
        <v>85</v>
      </c>
      <c r="D189" s="3">
        <v>134</v>
      </c>
      <c r="E189" s="3">
        <v>2</v>
      </c>
      <c r="F189" s="6">
        <f>_xlfn.XLOOKUP(D189, Products!A:A,Products!E:E, )</f>
        <v>1500</v>
      </c>
      <c r="G189" s="5">
        <f t="shared" si="2"/>
        <v>3000</v>
      </c>
      <c r="H189" s="3" t="str">
        <f>_xlfn.XLOOKUP(C189,Customers!A:A,Customers!B:B)</f>
        <v xml:space="preserve"> Sulaiman Raad</v>
      </c>
      <c r="I189" s="3" t="str">
        <f>_xlfn.XLOOKUP(D189,Products!A:A,Products!B:B)</f>
        <v>Xbox_Series_X</v>
      </c>
    </row>
    <row r="190" spans="1:9" x14ac:dyDescent="0.25">
      <c r="A190" s="3">
        <v>1189</v>
      </c>
      <c r="B190" s="2">
        <v>45988</v>
      </c>
      <c r="C190" s="3">
        <v>67</v>
      </c>
      <c r="D190" s="3">
        <v>119</v>
      </c>
      <c r="E190" s="3">
        <v>1</v>
      </c>
      <c r="F190" s="6">
        <f>_xlfn.XLOOKUP(D190, Products!A:A,Products!E:E, )</f>
        <v>1400</v>
      </c>
      <c r="G190" s="5">
        <f t="shared" si="2"/>
        <v>1400</v>
      </c>
      <c r="H190" s="3" t="str">
        <f>_xlfn.XLOOKUP(C190,Customers!A:A,Customers!B:B)</f>
        <v xml:space="preserve"> Bilal Farhan</v>
      </c>
      <c r="I190" s="3" t="str">
        <f>_xlfn.XLOOKUP(D190,Products!A:A,Products!B:B)</f>
        <v>Intel Core i7-13700 CPU</v>
      </c>
    </row>
    <row r="191" spans="1:9" x14ac:dyDescent="0.25">
      <c r="A191" s="3">
        <v>1190</v>
      </c>
      <c r="B191" s="2">
        <v>45989</v>
      </c>
      <c r="C191" s="3">
        <v>53</v>
      </c>
      <c r="D191" s="3">
        <v>136</v>
      </c>
      <c r="E191" s="3">
        <v>2</v>
      </c>
      <c r="F191" s="6">
        <f>_xlfn.XLOOKUP(D191, Products!A:A,Products!E:E, )</f>
        <v>500</v>
      </c>
      <c r="G191" s="5">
        <f t="shared" si="2"/>
        <v>1000</v>
      </c>
      <c r="H191" s="3" t="str">
        <f>_xlfn.XLOOKUP(C191,Customers!A:A,Customers!B:B)</f>
        <v xml:space="preserve"> Sami Fawzi</v>
      </c>
      <c r="I191" s="3" t="str">
        <f>_xlfn.XLOOKUP(D191,Products!A:A,Products!B:B)</f>
        <v>Razer Basilisk V3 Pro Mouse</v>
      </c>
    </row>
    <row r="192" spans="1:9" x14ac:dyDescent="0.25">
      <c r="A192" s="3">
        <v>1191</v>
      </c>
      <c r="B192" s="2">
        <v>45990</v>
      </c>
      <c r="C192" s="3">
        <v>45</v>
      </c>
      <c r="D192" s="3">
        <v>120</v>
      </c>
      <c r="E192" s="3">
        <v>1</v>
      </c>
      <c r="F192" s="6">
        <f>_xlfn.XLOOKUP(D192, Products!A:A,Products!E:E, )</f>
        <v>2000</v>
      </c>
      <c r="G192" s="5">
        <f t="shared" si="2"/>
        <v>2000</v>
      </c>
      <c r="H192" s="3" t="str">
        <f>_xlfn.XLOOKUP(C192,Customers!A:A,Customers!B:B)</f>
        <v xml:space="preserve"> Majed Abdullah</v>
      </c>
      <c r="I192" s="3" t="str">
        <f>_xlfn.XLOOKUP(D192,Products!A:A,Products!B:B)</f>
        <v>Intel Core i9-13900 CPU</v>
      </c>
    </row>
    <row r="193" spans="1:9" x14ac:dyDescent="0.25">
      <c r="A193" s="3">
        <v>1192</v>
      </c>
      <c r="B193" s="2">
        <v>45991</v>
      </c>
      <c r="C193" s="3">
        <v>49</v>
      </c>
      <c r="D193" s="3">
        <v>138</v>
      </c>
      <c r="E193" s="3">
        <v>2</v>
      </c>
      <c r="F193" s="6">
        <f>_xlfn.XLOOKUP(D193, Products!A:A,Products!E:E, )</f>
        <v>1700</v>
      </c>
      <c r="G193" s="5">
        <f t="shared" si="2"/>
        <v>3400</v>
      </c>
      <c r="H193" s="3" t="str">
        <f>_xlfn.XLOOKUP(C193,Customers!A:A,Customers!B:B)</f>
        <v xml:space="preserve"> Muteb Khalid</v>
      </c>
      <c r="I193" s="3" t="str">
        <f>_xlfn.XLOOKUP(D193,Products!A:A,Products!B:B)</f>
        <v>Corsair Vengeance LPX 32GB DDR4</v>
      </c>
    </row>
    <row r="194" spans="1:9" x14ac:dyDescent="0.25">
      <c r="A194" s="3">
        <v>1193</v>
      </c>
      <c r="B194" s="2">
        <v>45992</v>
      </c>
      <c r="C194" s="3">
        <v>19</v>
      </c>
      <c r="D194" s="3">
        <v>141</v>
      </c>
      <c r="E194" s="3">
        <v>2</v>
      </c>
      <c r="F194" s="6">
        <f>_xlfn.XLOOKUP(D194, Products!A:A,Products!E:E, )</f>
        <v>400</v>
      </c>
      <c r="G194" s="5">
        <f t="shared" ref="G194:G257" si="3">E194 *F194</f>
        <v>800</v>
      </c>
      <c r="H194" s="3" t="str">
        <f>_xlfn.XLOOKUP(C194,Customers!A:A,Customers!B:B)</f>
        <v xml:space="preserve"> Ibrahim Tarek</v>
      </c>
      <c r="I194" s="3" t="str">
        <f>_xlfn.XLOOKUP(D194,Products!A:A,Products!B:B)</f>
        <v>Seagate Barracuda 2TB HDD</v>
      </c>
    </row>
    <row r="195" spans="1:9" x14ac:dyDescent="0.25">
      <c r="A195" s="3">
        <v>1194</v>
      </c>
      <c r="B195" s="2">
        <v>45992</v>
      </c>
      <c r="C195" s="3">
        <v>21</v>
      </c>
      <c r="D195" s="3">
        <v>110</v>
      </c>
      <c r="E195" s="3">
        <v>2</v>
      </c>
      <c r="F195" s="6">
        <f>_xlfn.XLOOKUP(D195, Products!A:A,Products!E:E, )</f>
        <v>1200</v>
      </c>
      <c r="G195" s="5">
        <f t="shared" si="3"/>
        <v>2400</v>
      </c>
      <c r="H195" s="3" t="str">
        <f>_xlfn.XLOOKUP(C195,Customers!A:A,Customers!B:B)</f>
        <v xml:space="preserve"> Hassan Ali</v>
      </c>
      <c r="I195" s="3" t="str">
        <f>_xlfn.XLOOKUP(D195,Products!A:A,Products!B:B)</f>
        <v>XPG Gammix S70 Blade Gen 4 M.2 - 2TB</v>
      </c>
    </row>
    <row r="196" spans="1:9" x14ac:dyDescent="0.25">
      <c r="A196" s="3">
        <v>1195</v>
      </c>
      <c r="B196" s="2">
        <v>45992</v>
      </c>
      <c r="C196" s="3">
        <v>86</v>
      </c>
      <c r="D196" s="3">
        <v>106</v>
      </c>
      <c r="E196" s="3">
        <v>2</v>
      </c>
      <c r="F196" s="6">
        <f>_xlfn.XLOOKUP(D196, Products!A:A,Products!E:E, )</f>
        <v>800</v>
      </c>
      <c r="G196" s="5">
        <f t="shared" si="3"/>
        <v>1600</v>
      </c>
      <c r="H196" s="3" t="str">
        <f>_xlfn.XLOOKUP(C196,Customers!A:A,Customers!B:B)</f>
        <v xml:space="preserve"> Hala Mazin</v>
      </c>
      <c r="I196" s="3" t="str">
        <f>_xlfn.XLOOKUP(D196,Products!A:A,Products!B:B)</f>
        <v>Mouse_razer basilisk v3</v>
      </c>
    </row>
    <row r="197" spans="1:9" x14ac:dyDescent="0.25">
      <c r="A197" s="3">
        <v>1196</v>
      </c>
      <c r="B197" s="2">
        <v>45992</v>
      </c>
      <c r="C197" s="3">
        <v>87</v>
      </c>
      <c r="D197" s="3">
        <v>116</v>
      </c>
      <c r="E197" s="3">
        <v>1</v>
      </c>
      <c r="F197" s="6">
        <f>_xlfn.XLOOKUP(D197, Products!A:A,Products!E:E, )</f>
        <v>2002</v>
      </c>
      <c r="G197" s="5">
        <f t="shared" si="3"/>
        <v>2002</v>
      </c>
      <c r="H197" s="3" t="str">
        <f>_xlfn.XLOOKUP(C197,Customers!A:A,Customers!B:B)</f>
        <v xml:space="preserve"> Yazan Kareem</v>
      </c>
      <c r="I197" s="3" t="str">
        <f>_xlfn.XLOOKUP(D197,Products!A:A,Products!B:B)</f>
        <v>PNY GeForce RTX 5060 Ti ARGB OC Triple Fan</v>
      </c>
    </row>
    <row r="198" spans="1:9" x14ac:dyDescent="0.25">
      <c r="A198" s="3">
        <v>1197</v>
      </c>
      <c r="B198" s="2">
        <v>45992</v>
      </c>
      <c r="C198" s="3">
        <v>88</v>
      </c>
      <c r="D198" s="3">
        <v>112</v>
      </c>
      <c r="E198" s="3">
        <v>1</v>
      </c>
      <c r="F198" s="6">
        <f>_xlfn.XLOOKUP(D198, Products!A:A,Products!E:E, )</f>
        <v>650</v>
      </c>
      <c r="G198" s="5">
        <f t="shared" si="3"/>
        <v>650</v>
      </c>
      <c r="H198" s="3" t="str">
        <f>_xlfn.XLOOKUP(C198,Customers!A:A,Customers!B:B)</f>
        <v xml:space="preserve"> Sahar Jibril</v>
      </c>
      <c r="I198" s="3" t="str">
        <f>_xlfn.XLOOKUP(D198,Products!A:A,Products!B:B)</f>
        <v>Crucial E100 Gen4 NVMe M.2 - Black - 1TB</v>
      </c>
    </row>
    <row r="199" spans="1:9" x14ac:dyDescent="0.25">
      <c r="A199" s="3">
        <v>1198</v>
      </c>
      <c r="B199" s="2">
        <v>45993</v>
      </c>
      <c r="C199" s="3">
        <v>89</v>
      </c>
      <c r="D199" s="3">
        <v>139</v>
      </c>
      <c r="E199" s="3">
        <v>1</v>
      </c>
      <c r="F199" s="6">
        <f>_xlfn.XLOOKUP(D199, Products!A:A,Products!E:E, )</f>
        <v>1500</v>
      </c>
      <c r="G199" s="5">
        <f t="shared" si="3"/>
        <v>1500</v>
      </c>
      <c r="H199" s="3" t="str">
        <f>_xlfn.XLOOKUP(C199,Customers!A:A,Customers!B:B)</f>
        <v xml:space="preserve"> Qasem Naji</v>
      </c>
      <c r="I199" s="3" t="str">
        <f>_xlfn.XLOOKUP(D199,Products!A:A,Products!B:B)</f>
        <v>Kingston_FURY Beast 16GB DDR5</v>
      </c>
    </row>
    <row r="200" spans="1:9" x14ac:dyDescent="0.25">
      <c r="A200" s="3">
        <v>1199</v>
      </c>
      <c r="B200" s="2">
        <v>45993</v>
      </c>
      <c r="C200" s="3">
        <v>90</v>
      </c>
      <c r="D200" s="3">
        <v>126</v>
      </c>
      <c r="E200" s="3">
        <v>1</v>
      </c>
      <c r="F200" s="6">
        <f>_xlfn.XLOOKUP(D200, Products!A:A,Products!E:E, )</f>
        <v>280</v>
      </c>
      <c r="G200" s="5">
        <f t="shared" si="3"/>
        <v>280</v>
      </c>
      <c r="H200" s="3" t="str">
        <f>_xlfn.XLOOKUP(C200,Customers!A:A,Customers!B:B)</f>
        <v xml:space="preserve"> Ilham Zaki</v>
      </c>
      <c r="I200" s="3" t="str">
        <f>_xlfn.XLOOKUP(D200,Products!A:A,Products!B:B)</f>
        <v>Red-dragon K552 Mechanical Keyboard</v>
      </c>
    </row>
    <row r="201" spans="1:9" x14ac:dyDescent="0.25">
      <c r="A201" s="3">
        <v>1200</v>
      </c>
      <c r="B201" s="2">
        <v>45993</v>
      </c>
      <c r="C201" s="3">
        <v>3</v>
      </c>
      <c r="D201" s="3">
        <v>147</v>
      </c>
      <c r="E201" s="3">
        <v>2</v>
      </c>
      <c r="F201" s="6">
        <f>_xlfn.XLOOKUP(D201, Products!A:A,Products!E:E, )</f>
        <v>1900</v>
      </c>
      <c r="G201" s="5">
        <f t="shared" si="3"/>
        <v>3800</v>
      </c>
      <c r="H201" s="3" t="str">
        <f>_xlfn.XLOOKUP(C201,Customers!A:A,Customers!B:B)</f>
        <v>Turky Abdullah</v>
      </c>
      <c r="I201" s="3" t="str">
        <f>_xlfn.XLOOKUP(D201,Products!A:A,Products!B:B)</f>
        <v>ASUS TUF Gaming VG27AQ 165Hz</v>
      </c>
    </row>
    <row r="202" spans="1:9" x14ac:dyDescent="0.25">
      <c r="A202" s="3">
        <v>1201</v>
      </c>
      <c r="B202" s="2">
        <v>45993</v>
      </c>
      <c r="C202" s="3">
        <v>83</v>
      </c>
      <c r="D202" s="3">
        <v>104</v>
      </c>
      <c r="E202" s="3">
        <v>1</v>
      </c>
      <c r="F202" s="6">
        <f>_xlfn.XLOOKUP(D202, Products!A:A,Products!E:E, )</f>
        <v>500</v>
      </c>
      <c r="G202" s="5">
        <f t="shared" si="3"/>
        <v>500</v>
      </c>
      <c r="H202" s="3" t="str">
        <f>_xlfn.XLOOKUP(C202,Customers!A:A,Customers!B:B)</f>
        <v xml:space="preserve"> Marwan Tawfiq</v>
      </c>
      <c r="I202" s="3" t="str">
        <f>_xlfn.XLOOKUP(D202,Products!A:A,Products!B:B)</f>
        <v>Kayboard_Razer_Tartrus</v>
      </c>
    </row>
    <row r="203" spans="1:9" x14ac:dyDescent="0.25">
      <c r="A203" s="3">
        <v>1202</v>
      </c>
      <c r="B203" s="2">
        <v>45993</v>
      </c>
      <c r="C203" s="3">
        <v>87</v>
      </c>
      <c r="D203" s="3">
        <v>114</v>
      </c>
      <c r="E203" s="3">
        <v>2</v>
      </c>
      <c r="F203" s="6">
        <f>_xlfn.XLOOKUP(D203, Products!A:A,Products!E:E, )</f>
        <v>1800</v>
      </c>
      <c r="G203" s="5">
        <f t="shared" si="3"/>
        <v>3600</v>
      </c>
      <c r="H203" s="3" t="str">
        <f>_xlfn.XLOOKUP(C203,Customers!A:A,Customers!B:B)</f>
        <v xml:space="preserve"> Yazan Kareem</v>
      </c>
      <c r="I203" s="3" t="str">
        <f>_xlfn.XLOOKUP(D203,Products!A:A,Products!B:B)</f>
        <v>Palit GeForce RTX 5060 Infinity</v>
      </c>
    </row>
    <row r="204" spans="1:9" x14ac:dyDescent="0.25">
      <c r="A204" s="3">
        <v>1203</v>
      </c>
      <c r="B204" s="2">
        <v>45993</v>
      </c>
      <c r="C204" s="3">
        <v>76</v>
      </c>
      <c r="D204" s="3">
        <v>106</v>
      </c>
      <c r="E204" s="3">
        <v>2</v>
      </c>
      <c r="F204" s="6">
        <f>_xlfn.XLOOKUP(D204, Products!A:A,Products!E:E, )</f>
        <v>800</v>
      </c>
      <c r="G204" s="5">
        <f t="shared" si="3"/>
        <v>1600</v>
      </c>
      <c r="H204" s="3" t="str">
        <f>_xlfn.XLOOKUP(C204,Customers!A:A,Customers!B:B)</f>
        <v xml:space="preserve"> Lama Aref</v>
      </c>
      <c r="I204" s="3" t="str">
        <f>_xlfn.XLOOKUP(D204,Products!A:A,Products!B:B)</f>
        <v>Mouse_razer basilisk v3</v>
      </c>
    </row>
    <row r="205" spans="1:9" x14ac:dyDescent="0.25">
      <c r="A205" s="3">
        <v>1204</v>
      </c>
      <c r="B205" s="2">
        <v>45993</v>
      </c>
      <c r="C205" s="3">
        <v>88</v>
      </c>
      <c r="D205" s="3">
        <v>131</v>
      </c>
      <c r="E205" s="3">
        <v>2</v>
      </c>
      <c r="F205" s="6">
        <f>_xlfn.XLOOKUP(D205, Products!A:A,Products!E:E, )</f>
        <v>3400</v>
      </c>
      <c r="G205" s="5">
        <f t="shared" si="3"/>
        <v>6800</v>
      </c>
      <c r="H205" s="3" t="str">
        <f>_xlfn.XLOOKUP(C205,Customers!A:A,Customers!B:B)</f>
        <v xml:space="preserve"> Sahar Jibril</v>
      </c>
      <c r="I205" s="3" t="str">
        <f>_xlfn.XLOOKUP(D205,Products!A:A,Products!B:B)</f>
        <v>Sapphire Nitro+ RX 7900 XTX</v>
      </c>
    </row>
    <row r="206" spans="1:9" x14ac:dyDescent="0.25">
      <c r="A206" s="3">
        <v>1205</v>
      </c>
      <c r="B206" s="2">
        <v>45994</v>
      </c>
      <c r="C206" s="3">
        <v>4</v>
      </c>
      <c r="D206" s="3">
        <v>117</v>
      </c>
      <c r="E206" s="3">
        <v>1</v>
      </c>
      <c r="F206" s="6">
        <f>_xlfn.XLOOKUP(D206, Products!A:A,Products!E:E, )</f>
        <v>900</v>
      </c>
      <c r="G206" s="5">
        <f t="shared" si="3"/>
        <v>900</v>
      </c>
      <c r="H206" s="3" t="str">
        <f>_xlfn.XLOOKUP(C206,Customers!A:A,Customers!B:B)</f>
        <v xml:space="preserve"> Sara Khalid</v>
      </c>
      <c r="I206" s="3" t="str">
        <f>_xlfn.XLOOKUP(D206,Products!A:A,Products!B:B)</f>
        <v>MSI GeForce RTX 3050</v>
      </c>
    </row>
    <row r="207" spans="1:9" x14ac:dyDescent="0.25">
      <c r="A207" s="3">
        <v>1206</v>
      </c>
      <c r="B207" s="2">
        <v>45994</v>
      </c>
      <c r="C207" s="3">
        <v>89</v>
      </c>
      <c r="D207" s="3">
        <v>100</v>
      </c>
      <c r="E207" s="3">
        <v>2</v>
      </c>
      <c r="F207" s="6">
        <f>_xlfn.XLOOKUP(D207, Products!A:A,Products!E:E, )</f>
        <v>1000</v>
      </c>
      <c r="G207" s="5">
        <f t="shared" si="3"/>
        <v>2000</v>
      </c>
      <c r="H207" s="3" t="str">
        <f>_xlfn.XLOOKUP(C207,Customers!A:A,Customers!B:B)</f>
        <v xml:space="preserve"> Qasem Naji</v>
      </c>
      <c r="I207" s="3" t="str">
        <f>_xlfn.XLOOKUP(D207,Products!A:A,Products!B:B)</f>
        <v>SteelSeries Arctis 7</v>
      </c>
    </row>
    <row r="208" spans="1:9" x14ac:dyDescent="0.25">
      <c r="A208" s="3">
        <v>1207</v>
      </c>
      <c r="B208" s="2">
        <v>45994</v>
      </c>
      <c r="C208" s="3">
        <v>2</v>
      </c>
      <c r="D208" s="3">
        <v>144</v>
      </c>
      <c r="E208" s="3">
        <v>2</v>
      </c>
      <c r="F208" s="6">
        <f>_xlfn.XLOOKUP(D208, Products!A:A,Products!E:E, )</f>
        <v>1600</v>
      </c>
      <c r="G208" s="5">
        <f t="shared" si="3"/>
        <v>3200</v>
      </c>
      <c r="H208" s="3" t="str">
        <f>_xlfn.XLOOKUP(C208,Customers!A:A,Customers!B:B)</f>
        <v>Mona Salah</v>
      </c>
      <c r="I208" s="3" t="str">
        <f>_xlfn.XLOOKUP(D208,Products!A:A,Products!B:B)</f>
        <v>Dell UltraSharp U2723QE Monitor</v>
      </c>
    </row>
    <row r="209" spans="1:9" x14ac:dyDescent="0.25">
      <c r="A209" s="3">
        <v>1208</v>
      </c>
      <c r="B209" s="2">
        <v>45994</v>
      </c>
      <c r="C209" s="3">
        <v>63</v>
      </c>
      <c r="D209" s="3">
        <v>114</v>
      </c>
      <c r="E209" s="3">
        <v>2</v>
      </c>
      <c r="F209" s="6">
        <f>_xlfn.XLOOKUP(D209, Products!A:A,Products!E:E, )</f>
        <v>1800</v>
      </c>
      <c r="G209" s="5">
        <f t="shared" si="3"/>
        <v>3600</v>
      </c>
      <c r="H209" s="3" t="str">
        <f>_xlfn.XLOOKUP(C209,Customers!A:A,Customers!B:B)</f>
        <v xml:space="preserve"> Turki Salman</v>
      </c>
      <c r="I209" s="3" t="str">
        <f>_xlfn.XLOOKUP(D209,Products!A:A,Products!B:B)</f>
        <v>Palit GeForce RTX 5060 Infinity</v>
      </c>
    </row>
    <row r="210" spans="1:9" x14ac:dyDescent="0.25">
      <c r="A210" s="3">
        <v>1209</v>
      </c>
      <c r="B210" s="2">
        <v>45994</v>
      </c>
      <c r="C210" s="3">
        <v>76</v>
      </c>
      <c r="D210" s="3">
        <v>143</v>
      </c>
      <c r="E210" s="3">
        <v>1</v>
      </c>
      <c r="F210" s="6">
        <f>_xlfn.XLOOKUP(D210, Products!A:A,Products!E:E, )</f>
        <v>400</v>
      </c>
      <c r="G210" s="5">
        <f t="shared" si="3"/>
        <v>400</v>
      </c>
      <c r="H210" s="3" t="str">
        <f>_xlfn.XLOOKUP(C210,Customers!A:A,Customers!B:B)</f>
        <v xml:space="preserve"> Lama Aref</v>
      </c>
      <c r="I210" s="3" t="str">
        <f>_xlfn.XLOOKUP(D210,Products!A:A,Products!B:B)</f>
        <v>HP Pavilion Gaming Mouse 300</v>
      </c>
    </row>
    <row r="211" spans="1:9" x14ac:dyDescent="0.25">
      <c r="A211" s="3">
        <v>1210</v>
      </c>
      <c r="B211" s="2">
        <v>45994</v>
      </c>
      <c r="C211" s="3">
        <v>46</v>
      </c>
      <c r="D211" s="3">
        <v>105</v>
      </c>
      <c r="E211" s="3">
        <v>1</v>
      </c>
      <c r="F211" s="6">
        <f>_xlfn.XLOOKUP(D211, Products!A:A,Products!E:E, )</f>
        <v>700</v>
      </c>
      <c r="G211" s="5">
        <f t="shared" si="3"/>
        <v>700</v>
      </c>
      <c r="H211" s="3" t="str">
        <f>_xlfn.XLOOKUP(C211,Customers!A:A,Customers!B:B)</f>
        <v xml:space="preserve"> Yasmin Nabil</v>
      </c>
      <c r="I211" s="3" t="str">
        <f>_xlfn.XLOOKUP(D211,Products!A:A,Products!B:B)</f>
        <v>HyperX Cloud Alpha</v>
      </c>
    </row>
    <row r="212" spans="1:9" x14ac:dyDescent="0.25">
      <c r="A212" s="3">
        <v>1211</v>
      </c>
      <c r="B212" s="2">
        <v>45994</v>
      </c>
      <c r="C212" s="3">
        <v>37</v>
      </c>
      <c r="D212" s="3">
        <v>130</v>
      </c>
      <c r="E212" s="3">
        <v>2</v>
      </c>
      <c r="F212" s="6">
        <f>_xlfn.XLOOKUP(D212, Products!A:A,Products!E:E, )</f>
        <v>2250</v>
      </c>
      <c r="G212" s="5">
        <f t="shared" si="3"/>
        <v>4500</v>
      </c>
      <c r="H212" s="3" t="str">
        <f>_xlfn.XLOOKUP(C212,Customers!A:A,Customers!B:B)</f>
        <v xml:space="preserve"> Abdulaziz Khalaf</v>
      </c>
      <c r="I212" s="3" t="str">
        <f>_xlfn.XLOOKUP(D212,Products!A:A,Products!B:B)</f>
        <v>MSI RTX 4070 Ti Super Gaming X</v>
      </c>
    </row>
    <row r="213" spans="1:9" x14ac:dyDescent="0.25">
      <c r="A213" s="3">
        <v>1212</v>
      </c>
      <c r="B213" s="2">
        <v>45995</v>
      </c>
      <c r="C213" s="3">
        <v>90</v>
      </c>
      <c r="D213" s="3">
        <v>134</v>
      </c>
      <c r="E213" s="3">
        <v>2</v>
      </c>
      <c r="F213" s="6">
        <f>_xlfn.XLOOKUP(D213, Products!A:A,Products!E:E, )</f>
        <v>1500</v>
      </c>
      <c r="G213" s="5">
        <f t="shared" si="3"/>
        <v>3000</v>
      </c>
      <c r="H213" s="3" t="str">
        <f>_xlfn.XLOOKUP(C213,Customers!A:A,Customers!B:B)</f>
        <v xml:space="preserve"> Ilham Zaki</v>
      </c>
      <c r="I213" s="3" t="str">
        <f>_xlfn.XLOOKUP(D213,Products!A:A,Products!B:B)</f>
        <v>Xbox_Series_X</v>
      </c>
    </row>
    <row r="214" spans="1:9" x14ac:dyDescent="0.25">
      <c r="A214" s="3">
        <v>1213</v>
      </c>
      <c r="B214" s="2">
        <v>45995</v>
      </c>
      <c r="C214" s="3">
        <v>18</v>
      </c>
      <c r="D214" s="3">
        <v>118</v>
      </c>
      <c r="E214" s="3">
        <v>2</v>
      </c>
      <c r="F214" s="6">
        <f>_xlfn.XLOOKUP(D214, Products!A:A,Products!E:E, )</f>
        <v>1000</v>
      </c>
      <c r="G214" s="5">
        <f t="shared" si="3"/>
        <v>2000</v>
      </c>
      <c r="H214" s="3" t="str">
        <f>_xlfn.XLOOKUP(C214,Customers!A:A,Customers!B:B)</f>
        <v xml:space="preserve"> Dana Faisal</v>
      </c>
      <c r="I214" s="3" t="str">
        <f>_xlfn.XLOOKUP(D214,Products!A:A,Products!B:B)</f>
        <v>Intel Core Ultra 5 245K CPU</v>
      </c>
    </row>
    <row r="215" spans="1:9" x14ac:dyDescent="0.25">
      <c r="A215" s="3">
        <v>1214</v>
      </c>
      <c r="B215" s="2">
        <v>45996</v>
      </c>
      <c r="C215" s="3">
        <v>24</v>
      </c>
      <c r="D215" s="3">
        <v>124</v>
      </c>
      <c r="E215" s="3">
        <v>2</v>
      </c>
      <c r="F215" s="6">
        <f>_xlfn.XLOOKUP(D215, Products!A:A,Products!E:E, )</f>
        <v>3300</v>
      </c>
      <c r="G215" s="5">
        <f t="shared" si="3"/>
        <v>6600</v>
      </c>
      <c r="H215" s="3" t="str">
        <f>_xlfn.XLOOKUP(C215,Customers!A:A,Customers!B:B)</f>
        <v xml:space="preserve"> Mona Hisham</v>
      </c>
      <c r="I215" s="3" t="str">
        <f>_xlfn.XLOOKUP(D215,Products!A:A,Products!B:B)</f>
        <v>AMD Ryzen 9 9950X3D CPU</v>
      </c>
    </row>
    <row r="216" spans="1:9" x14ac:dyDescent="0.25">
      <c r="A216" s="3">
        <v>1215</v>
      </c>
      <c r="B216" s="2">
        <v>45996</v>
      </c>
      <c r="C216" s="3">
        <v>54</v>
      </c>
      <c r="D216" s="3">
        <v>146</v>
      </c>
      <c r="E216" s="3">
        <v>2</v>
      </c>
      <c r="F216" s="6">
        <f>_xlfn.XLOOKUP(D216, Products!A:A,Products!E:E, )</f>
        <v>1800</v>
      </c>
      <c r="G216" s="5">
        <f t="shared" si="3"/>
        <v>3600</v>
      </c>
      <c r="H216" s="3" t="str">
        <f>_xlfn.XLOOKUP(C216,Customers!A:A,Customers!B:B)</f>
        <v xml:space="preserve"> Shatha Omar</v>
      </c>
      <c r="I216" s="3" t="str">
        <f>_xlfn.XLOOKUP(D216,Products!A:A,Products!B:B)</f>
        <v>LG UltraGear 27GP850-B 165Hz</v>
      </c>
    </row>
    <row r="217" spans="1:9" x14ac:dyDescent="0.25">
      <c r="A217" s="3">
        <v>1216</v>
      </c>
      <c r="B217" s="2">
        <v>45996</v>
      </c>
      <c r="C217" s="3">
        <v>91</v>
      </c>
      <c r="D217" s="3">
        <v>120</v>
      </c>
      <c r="E217" s="3">
        <v>1</v>
      </c>
      <c r="F217" s="6">
        <f>_xlfn.XLOOKUP(D217, Products!A:A,Products!E:E, )</f>
        <v>2000</v>
      </c>
      <c r="G217" s="5">
        <f t="shared" si="3"/>
        <v>2000</v>
      </c>
      <c r="H217" s="3" t="str">
        <f>_xlfn.XLOOKUP(C217,Customers!A:A,Customers!B:B)</f>
        <v xml:space="preserve"> Abdulilah Faraj</v>
      </c>
      <c r="I217" s="3" t="str">
        <f>_xlfn.XLOOKUP(D217,Products!A:A,Products!B:B)</f>
        <v>Intel Core i9-13900 CPU</v>
      </c>
    </row>
    <row r="218" spans="1:9" x14ac:dyDescent="0.25">
      <c r="A218" s="3">
        <v>1217</v>
      </c>
      <c r="B218" s="2">
        <v>45997</v>
      </c>
      <c r="C218" s="3">
        <v>92</v>
      </c>
      <c r="D218" s="3">
        <v>121</v>
      </c>
      <c r="E218" s="3">
        <v>2</v>
      </c>
      <c r="F218" s="6">
        <f>_xlfn.XLOOKUP(D218, Products!A:A,Products!E:E, )</f>
        <v>1500</v>
      </c>
      <c r="G218" s="5">
        <f t="shared" si="3"/>
        <v>3000</v>
      </c>
      <c r="H218" s="3" t="str">
        <f>_xlfn.XLOOKUP(C218,Customers!A:A,Customers!B:B)</f>
        <v xml:space="preserve"> Shurooq Adel</v>
      </c>
      <c r="I218" s="3" t="str">
        <f>_xlfn.XLOOKUP(D218,Products!A:A,Products!B:B)</f>
        <v>Intel Core Ultra 7 265KF Tray CPU</v>
      </c>
    </row>
    <row r="219" spans="1:9" x14ac:dyDescent="0.25">
      <c r="A219" s="3">
        <v>1218</v>
      </c>
      <c r="B219" s="2">
        <v>45997</v>
      </c>
      <c r="C219" s="3">
        <v>93</v>
      </c>
      <c r="D219" s="3">
        <v>124</v>
      </c>
      <c r="E219" s="3">
        <v>2</v>
      </c>
      <c r="F219" s="6">
        <f>_xlfn.XLOOKUP(D219, Products!A:A,Products!E:E, )</f>
        <v>3300</v>
      </c>
      <c r="G219" s="5">
        <f t="shared" si="3"/>
        <v>6600</v>
      </c>
      <c r="H219" s="3" t="str">
        <f>_xlfn.XLOOKUP(C219,Customers!A:A,Customers!B:B)</f>
        <v xml:space="preserve"> Muneer Sami</v>
      </c>
      <c r="I219" s="3" t="str">
        <f>_xlfn.XLOOKUP(D219,Products!A:A,Products!B:B)</f>
        <v>AMD Ryzen 9 9950X3D CPU</v>
      </c>
    </row>
    <row r="220" spans="1:9" x14ac:dyDescent="0.25">
      <c r="A220" s="3">
        <v>1219</v>
      </c>
      <c r="B220" s="2">
        <v>45997</v>
      </c>
      <c r="C220" s="3">
        <v>94</v>
      </c>
      <c r="D220" s="3">
        <v>124</v>
      </c>
      <c r="E220" s="3">
        <v>1</v>
      </c>
      <c r="F220" s="6">
        <f>_xlfn.XLOOKUP(D220, Products!A:A,Products!E:E, )</f>
        <v>3300</v>
      </c>
      <c r="G220" s="5">
        <f t="shared" si="3"/>
        <v>3300</v>
      </c>
      <c r="H220" s="3" t="str">
        <f>_xlfn.XLOOKUP(C220,Customers!A:A,Customers!B:B)</f>
        <v xml:space="preserve"> Raghad Samer</v>
      </c>
      <c r="I220" s="3" t="str">
        <f>_xlfn.XLOOKUP(D220,Products!A:A,Products!B:B)</f>
        <v>AMD Ryzen 9 9950X3D CPU</v>
      </c>
    </row>
    <row r="221" spans="1:9" x14ac:dyDescent="0.25">
      <c r="A221" s="3">
        <v>1220</v>
      </c>
      <c r="B221" s="2">
        <v>45997</v>
      </c>
      <c r="C221" s="3">
        <v>95</v>
      </c>
      <c r="D221" s="3">
        <v>112</v>
      </c>
      <c r="E221" s="3">
        <v>1</v>
      </c>
      <c r="F221" s="6">
        <f>_xlfn.XLOOKUP(D221, Products!A:A,Products!E:E, )</f>
        <v>650</v>
      </c>
      <c r="G221" s="5">
        <f t="shared" si="3"/>
        <v>650</v>
      </c>
      <c r="H221" s="3" t="str">
        <f>_xlfn.XLOOKUP(C221,Customers!A:A,Customers!B:B)</f>
        <v xml:space="preserve"> Nawaf Badr</v>
      </c>
      <c r="I221" s="3" t="str">
        <f>_xlfn.XLOOKUP(D221,Products!A:A,Products!B:B)</f>
        <v>Crucial E100 Gen4 NVMe M.2 - Black - 1TB</v>
      </c>
    </row>
    <row r="222" spans="1:9" x14ac:dyDescent="0.25">
      <c r="A222" s="3">
        <v>1221</v>
      </c>
      <c r="B222" s="2">
        <v>45998</v>
      </c>
      <c r="C222" s="3">
        <v>60</v>
      </c>
      <c r="D222" s="3">
        <v>122</v>
      </c>
      <c r="E222" s="3">
        <v>2</v>
      </c>
      <c r="F222" s="6">
        <f>_xlfn.XLOOKUP(D222, Products!A:A,Products!E:E, )</f>
        <v>1000</v>
      </c>
      <c r="G222" s="5">
        <f t="shared" si="3"/>
        <v>2000</v>
      </c>
      <c r="H222" s="3" t="str">
        <f>_xlfn.XLOOKUP(C222,Customers!A:A,Customers!B:B)</f>
        <v xml:space="preserve"> Rawan Mazen</v>
      </c>
      <c r="I222" s="3" t="str">
        <f>_xlfn.XLOOKUP(D222,Products!A:A,Products!B:B)</f>
        <v>AMD Ryzen 5 7600x CPU</v>
      </c>
    </row>
    <row r="223" spans="1:9" x14ac:dyDescent="0.25">
      <c r="A223" s="3">
        <v>1222</v>
      </c>
      <c r="B223" s="2">
        <v>45998</v>
      </c>
      <c r="C223" s="3">
        <v>83</v>
      </c>
      <c r="D223" s="3">
        <v>104</v>
      </c>
      <c r="E223" s="3">
        <v>1</v>
      </c>
      <c r="F223" s="6">
        <f>_xlfn.XLOOKUP(D223, Products!A:A,Products!E:E, )</f>
        <v>500</v>
      </c>
      <c r="G223" s="5">
        <f t="shared" si="3"/>
        <v>500</v>
      </c>
      <c r="H223" s="3" t="str">
        <f>_xlfn.XLOOKUP(C223,Customers!A:A,Customers!B:B)</f>
        <v xml:space="preserve"> Marwan Tawfiq</v>
      </c>
      <c r="I223" s="3" t="str">
        <f>_xlfn.XLOOKUP(D223,Products!A:A,Products!B:B)</f>
        <v>Kayboard_Razer_Tartrus</v>
      </c>
    </row>
    <row r="224" spans="1:9" x14ac:dyDescent="0.25">
      <c r="A224" s="3">
        <v>1223</v>
      </c>
      <c r="B224" s="2">
        <v>45998</v>
      </c>
      <c r="C224" s="3">
        <v>80</v>
      </c>
      <c r="D224" s="3">
        <v>134</v>
      </c>
      <c r="E224" s="3">
        <v>2</v>
      </c>
      <c r="F224" s="6">
        <f>_xlfn.XLOOKUP(D224, Products!A:A,Products!E:E, )</f>
        <v>1500</v>
      </c>
      <c r="G224" s="5">
        <f t="shared" si="3"/>
        <v>3000</v>
      </c>
      <c r="H224" s="3" t="str">
        <f>_xlfn.XLOOKUP(C224,Customers!A:A,Customers!B:B)</f>
        <v xml:space="preserve"> Farah Issa</v>
      </c>
      <c r="I224" s="3" t="str">
        <f>_xlfn.XLOOKUP(D224,Products!A:A,Products!B:B)</f>
        <v>Xbox_Series_X</v>
      </c>
    </row>
    <row r="225" spans="1:9" x14ac:dyDescent="0.25">
      <c r="A225" s="3">
        <v>1224</v>
      </c>
      <c r="B225" s="2">
        <v>45998</v>
      </c>
      <c r="C225" s="3">
        <v>30</v>
      </c>
      <c r="D225" s="3">
        <v>114</v>
      </c>
      <c r="E225" s="3">
        <v>1</v>
      </c>
      <c r="F225" s="6">
        <f>_xlfn.XLOOKUP(D225, Products!A:A,Products!E:E, )</f>
        <v>1800</v>
      </c>
      <c r="G225" s="5">
        <f t="shared" si="3"/>
        <v>1800</v>
      </c>
      <c r="H225" s="3" t="str">
        <f>_xlfn.XLOOKUP(C225,Customers!A:A,Customers!B:B)</f>
        <v xml:space="preserve"> Bushra Amin</v>
      </c>
      <c r="I225" s="3" t="str">
        <f>_xlfn.XLOOKUP(D225,Products!A:A,Products!B:B)</f>
        <v>Palit GeForce RTX 5060 Infinity</v>
      </c>
    </row>
    <row r="226" spans="1:9" x14ac:dyDescent="0.25">
      <c r="A226" s="3">
        <v>1225</v>
      </c>
      <c r="B226" s="2">
        <v>45998</v>
      </c>
      <c r="C226" s="3">
        <v>2</v>
      </c>
      <c r="D226" s="3">
        <v>100</v>
      </c>
      <c r="E226" s="3">
        <v>1</v>
      </c>
      <c r="F226" s="6">
        <f>_xlfn.XLOOKUP(D226, Products!A:A,Products!E:E, )</f>
        <v>1000</v>
      </c>
      <c r="G226" s="5">
        <f t="shared" si="3"/>
        <v>1000</v>
      </c>
      <c r="H226" s="3" t="str">
        <f>_xlfn.XLOOKUP(C226,Customers!A:A,Customers!B:B)</f>
        <v>Mona Salah</v>
      </c>
      <c r="I226" s="3" t="str">
        <f>_xlfn.XLOOKUP(D226,Products!A:A,Products!B:B)</f>
        <v>SteelSeries Arctis 7</v>
      </c>
    </row>
    <row r="227" spans="1:9" x14ac:dyDescent="0.25">
      <c r="A227" s="3">
        <v>1226</v>
      </c>
      <c r="B227" s="2">
        <v>45999</v>
      </c>
      <c r="C227" s="3">
        <v>84</v>
      </c>
      <c r="D227" s="3">
        <v>126</v>
      </c>
      <c r="E227" s="3">
        <v>1</v>
      </c>
      <c r="F227" s="6">
        <f>_xlfn.XLOOKUP(D227, Products!A:A,Products!E:E, )</f>
        <v>280</v>
      </c>
      <c r="G227" s="5">
        <f t="shared" si="3"/>
        <v>280</v>
      </c>
      <c r="H227" s="3" t="str">
        <f>_xlfn.XLOOKUP(C227,Customers!A:A,Customers!B:B)</f>
        <v xml:space="preserve"> Duaa Munir</v>
      </c>
      <c r="I227" s="3" t="str">
        <f>_xlfn.XLOOKUP(D227,Products!A:A,Products!B:B)</f>
        <v>Red-dragon K552 Mechanical Keyboard</v>
      </c>
    </row>
    <row r="228" spans="1:9" x14ac:dyDescent="0.25">
      <c r="A228" s="3">
        <v>1227</v>
      </c>
      <c r="B228" s="2">
        <v>45999</v>
      </c>
      <c r="C228" s="3">
        <v>90</v>
      </c>
      <c r="D228" s="3">
        <v>142</v>
      </c>
      <c r="E228" s="3">
        <v>1</v>
      </c>
      <c r="F228" s="6">
        <f>_xlfn.XLOOKUP(D228, Products!A:A,Products!E:E, )</f>
        <v>500</v>
      </c>
      <c r="G228" s="5">
        <f t="shared" si="3"/>
        <v>500</v>
      </c>
      <c r="H228" s="3" t="str">
        <f>_xlfn.XLOOKUP(C228,Customers!A:A,Customers!B:B)</f>
        <v xml:space="preserve"> Ilham Zaki</v>
      </c>
      <c r="I228" s="3" t="str">
        <f>_xlfn.XLOOKUP(D228,Products!A:A,Products!B:B)</f>
        <v>Apple Magic Keyboard</v>
      </c>
    </row>
    <row r="229" spans="1:9" x14ac:dyDescent="0.25">
      <c r="A229" s="3">
        <v>1228</v>
      </c>
      <c r="B229" s="2">
        <v>46000</v>
      </c>
      <c r="C229" s="3">
        <v>87</v>
      </c>
      <c r="D229" s="3">
        <v>133</v>
      </c>
      <c r="E229" s="3">
        <v>1</v>
      </c>
      <c r="F229" s="6">
        <f>_xlfn.XLOOKUP(D229, Products!A:A,Products!E:E, )</f>
        <v>2200</v>
      </c>
      <c r="G229" s="5">
        <f t="shared" si="3"/>
        <v>2200</v>
      </c>
      <c r="H229" s="3" t="str">
        <f>_xlfn.XLOOKUP(C229,Customers!A:A,Customers!B:B)</f>
        <v xml:space="preserve"> Yazan Kareem</v>
      </c>
      <c r="I229" s="3" t="str">
        <f>_xlfn.XLOOKUP(D229,Products!A:A,Products!B:B)</f>
        <v>AMD Ryzen 9 7950X3D</v>
      </c>
    </row>
    <row r="230" spans="1:9" x14ac:dyDescent="0.25">
      <c r="A230" s="3">
        <v>1229</v>
      </c>
      <c r="B230" s="2">
        <v>46000</v>
      </c>
      <c r="C230" s="3">
        <v>81</v>
      </c>
      <c r="D230" s="3">
        <v>114</v>
      </c>
      <c r="E230" s="3">
        <v>1</v>
      </c>
      <c r="F230" s="6">
        <f>_xlfn.XLOOKUP(D230, Products!A:A,Products!E:E, )</f>
        <v>1800</v>
      </c>
      <c r="G230" s="5">
        <f t="shared" si="3"/>
        <v>1800</v>
      </c>
      <c r="H230" s="3" t="str">
        <f>_xlfn.XLOOKUP(C230,Customers!A:A,Customers!B:B)</f>
        <v xml:space="preserve"> Haytham Rami</v>
      </c>
      <c r="I230" s="3" t="str">
        <f>_xlfn.XLOOKUP(D230,Products!A:A,Products!B:B)</f>
        <v>Palit GeForce RTX 5060 Infinity</v>
      </c>
    </row>
    <row r="231" spans="1:9" x14ac:dyDescent="0.25">
      <c r="A231" s="3">
        <v>1230</v>
      </c>
      <c r="B231" s="2">
        <v>46000</v>
      </c>
      <c r="C231" s="3">
        <v>23</v>
      </c>
      <c r="D231" s="3">
        <v>127</v>
      </c>
      <c r="E231" s="3">
        <v>1</v>
      </c>
      <c r="F231" s="6">
        <f>_xlfn.XLOOKUP(D231, Products!A:A,Products!E:E, )</f>
        <v>700</v>
      </c>
      <c r="G231" s="5">
        <f t="shared" si="3"/>
        <v>700</v>
      </c>
      <c r="H231" s="3" t="str">
        <f>_xlfn.XLOOKUP(C231,Customers!A:A,Customers!B:B)</f>
        <v xml:space="preserve"> Saad Mutlaq</v>
      </c>
      <c r="I231" s="3" t="str">
        <f>_xlfn.XLOOKUP(D231,Products!A:A,Products!B:B)</f>
        <v>Samsung 990 EVO PLUS 1TB NVMe</v>
      </c>
    </row>
    <row r="232" spans="1:9" x14ac:dyDescent="0.25">
      <c r="A232" s="3">
        <v>1231</v>
      </c>
      <c r="B232" s="2">
        <v>46000</v>
      </c>
      <c r="C232" s="3">
        <v>31</v>
      </c>
      <c r="D232" s="3">
        <v>107</v>
      </c>
      <c r="E232" s="3">
        <v>2</v>
      </c>
      <c r="F232" s="6">
        <f>_xlfn.XLOOKUP(D232, Products!A:A,Products!E:E, )</f>
        <v>250</v>
      </c>
      <c r="G232" s="5">
        <f t="shared" si="3"/>
        <v>500</v>
      </c>
      <c r="H232" s="3" t="str">
        <f>_xlfn.XLOOKUP(C232,Customers!A:A,Customers!B:B)</f>
        <v xml:space="preserve"> Mohammed Aziz</v>
      </c>
      <c r="I232" s="3" t="str">
        <f>_xlfn.XLOOKUP(D232,Products!A:A,Products!B:B)</f>
        <v>Logitech_G50</v>
      </c>
    </row>
    <row r="233" spans="1:9" x14ac:dyDescent="0.25">
      <c r="A233" s="3">
        <v>1232</v>
      </c>
      <c r="B233" s="2">
        <v>46000</v>
      </c>
      <c r="C233" s="3">
        <v>41</v>
      </c>
      <c r="D233" s="3">
        <v>131</v>
      </c>
      <c r="E233" s="3">
        <v>1</v>
      </c>
      <c r="F233" s="6">
        <f>_xlfn.XLOOKUP(D233, Products!A:A,Products!E:E, )</f>
        <v>3400</v>
      </c>
      <c r="G233" s="5">
        <f t="shared" si="3"/>
        <v>3400</v>
      </c>
      <c r="H233" s="3" t="str">
        <f>_xlfn.XLOOKUP(C233,Customers!A:A,Customers!B:B)</f>
        <v xml:space="preserve"> Sultan Fahd</v>
      </c>
      <c r="I233" s="3" t="str">
        <f>_xlfn.XLOOKUP(D233,Products!A:A,Products!B:B)</f>
        <v>Sapphire Nitro+ RX 7900 XTX</v>
      </c>
    </row>
    <row r="234" spans="1:9" x14ac:dyDescent="0.25">
      <c r="A234" s="3">
        <v>1233</v>
      </c>
      <c r="B234" s="2">
        <v>46000</v>
      </c>
      <c r="C234" s="3">
        <v>91</v>
      </c>
      <c r="D234" s="3">
        <v>147</v>
      </c>
      <c r="E234" s="3">
        <v>2</v>
      </c>
      <c r="F234" s="6">
        <f>_xlfn.XLOOKUP(D234, Products!A:A,Products!E:E, )</f>
        <v>1900</v>
      </c>
      <c r="G234" s="5">
        <f t="shared" si="3"/>
        <v>3800</v>
      </c>
      <c r="H234" s="3" t="str">
        <f>_xlfn.XLOOKUP(C234,Customers!A:A,Customers!B:B)</f>
        <v xml:space="preserve"> Abdulilah Faraj</v>
      </c>
      <c r="I234" s="3" t="str">
        <f>_xlfn.XLOOKUP(D234,Products!A:A,Products!B:B)</f>
        <v>ASUS TUF Gaming VG27AQ 165Hz</v>
      </c>
    </row>
    <row r="235" spans="1:9" x14ac:dyDescent="0.25">
      <c r="A235" s="3">
        <v>1234</v>
      </c>
      <c r="B235" s="2">
        <v>46000</v>
      </c>
      <c r="C235" s="3">
        <v>88</v>
      </c>
      <c r="D235" s="3">
        <v>112</v>
      </c>
      <c r="E235" s="3">
        <v>1</v>
      </c>
      <c r="F235" s="6">
        <f>_xlfn.XLOOKUP(D235, Products!A:A,Products!E:E, )</f>
        <v>650</v>
      </c>
      <c r="G235" s="5">
        <f t="shared" si="3"/>
        <v>650</v>
      </c>
      <c r="H235" s="3" t="str">
        <f>_xlfn.XLOOKUP(C235,Customers!A:A,Customers!B:B)</f>
        <v xml:space="preserve"> Sahar Jibril</v>
      </c>
      <c r="I235" s="3" t="str">
        <f>_xlfn.XLOOKUP(D235,Products!A:A,Products!B:B)</f>
        <v>Crucial E100 Gen4 NVMe M.2 - Black - 1TB</v>
      </c>
    </row>
    <row r="236" spans="1:9" x14ac:dyDescent="0.25">
      <c r="A236" s="3">
        <v>1235</v>
      </c>
      <c r="B236" s="2">
        <v>46001</v>
      </c>
      <c r="C236" s="3">
        <v>92</v>
      </c>
      <c r="D236" s="3">
        <v>137</v>
      </c>
      <c r="E236" s="3">
        <v>2</v>
      </c>
      <c r="F236" s="6">
        <f>_xlfn.XLOOKUP(D236, Products!A:A,Products!E:E, )</f>
        <v>650</v>
      </c>
      <c r="G236" s="5">
        <f t="shared" si="3"/>
        <v>1300</v>
      </c>
      <c r="H236" s="3" t="str">
        <f>_xlfn.XLOOKUP(C236,Customers!A:A,Customers!B:B)</f>
        <v xml:space="preserve"> Shurooq Adel</v>
      </c>
      <c r="I236" s="3" t="str">
        <f>_xlfn.XLOOKUP(D236,Products!A:A,Products!B:B)</f>
        <v>ASUS TUF Gaming B650-PLUS</v>
      </c>
    </row>
    <row r="237" spans="1:9" x14ac:dyDescent="0.25">
      <c r="A237" s="3">
        <v>1236</v>
      </c>
      <c r="B237" s="2">
        <v>46001</v>
      </c>
      <c r="C237" s="3">
        <v>93</v>
      </c>
      <c r="D237" s="3">
        <v>127</v>
      </c>
      <c r="E237" s="3">
        <v>2</v>
      </c>
      <c r="F237" s="6">
        <f>_xlfn.XLOOKUP(D237, Products!A:A,Products!E:E, )</f>
        <v>700</v>
      </c>
      <c r="G237" s="5">
        <f t="shared" si="3"/>
        <v>1400</v>
      </c>
      <c r="H237" s="3" t="str">
        <f>_xlfn.XLOOKUP(C237,Customers!A:A,Customers!B:B)</f>
        <v xml:space="preserve"> Muneer Sami</v>
      </c>
      <c r="I237" s="3" t="str">
        <f>_xlfn.XLOOKUP(D237,Products!A:A,Products!B:B)</f>
        <v>Samsung 990 EVO PLUS 1TB NVMe</v>
      </c>
    </row>
    <row r="238" spans="1:9" x14ac:dyDescent="0.25">
      <c r="A238" s="3">
        <v>1237</v>
      </c>
      <c r="B238" s="2">
        <v>46001</v>
      </c>
      <c r="C238" s="3">
        <v>94</v>
      </c>
      <c r="D238" s="3">
        <v>106</v>
      </c>
      <c r="E238" s="3">
        <v>1</v>
      </c>
      <c r="F238" s="6">
        <f>_xlfn.XLOOKUP(D238, Products!A:A,Products!E:E, )</f>
        <v>800</v>
      </c>
      <c r="G238" s="5">
        <f>E238 *F238</f>
        <v>800</v>
      </c>
      <c r="H238" s="3" t="str">
        <f>_xlfn.XLOOKUP(C238,Customers!A:A,Customers!B:B)</f>
        <v xml:space="preserve"> Raghad Samer</v>
      </c>
      <c r="I238" s="3" t="str">
        <f>_xlfn.XLOOKUP(D238,Products!A:A,Products!B:B)</f>
        <v>Mouse_razer basilisk v3</v>
      </c>
    </row>
    <row r="239" spans="1:9" x14ac:dyDescent="0.25">
      <c r="A239" s="3">
        <v>1238</v>
      </c>
      <c r="B239" s="2">
        <v>46001</v>
      </c>
      <c r="C239" s="3">
        <v>95</v>
      </c>
      <c r="D239" s="3">
        <v>100</v>
      </c>
      <c r="E239" s="3">
        <v>2</v>
      </c>
      <c r="F239" s="6">
        <f>_xlfn.XLOOKUP(D239, Products!A:A,Products!E:E, )</f>
        <v>1000</v>
      </c>
      <c r="G239" s="5">
        <f t="shared" si="3"/>
        <v>2000</v>
      </c>
      <c r="H239" s="3" t="str">
        <f>_xlfn.XLOOKUP(C239,Customers!A:A,Customers!B:B)</f>
        <v xml:space="preserve"> Nawaf Badr</v>
      </c>
      <c r="I239" s="3" t="str">
        <f>_xlfn.XLOOKUP(D239,Products!A:A,Products!B:B)</f>
        <v>SteelSeries Arctis 7</v>
      </c>
    </row>
    <row r="240" spans="1:9" x14ac:dyDescent="0.25">
      <c r="A240" s="3">
        <v>1239</v>
      </c>
      <c r="B240" s="2">
        <v>46001</v>
      </c>
      <c r="C240" s="3">
        <v>95</v>
      </c>
      <c r="D240" s="3">
        <v>136</v>
      </c>
      <c r="E240" s="3">
        <v>1</v>
      </c>
      <c r="F240" s="6">
        <f>_xlfn.XLOOKUP(D240, Products!A:A,Products!E:E, )</f>
        <v>500</v>
      </c>
      <c r="G240" s="5">
        <f t="shared" si="3"/>
        <v>500</v>
      </c>
      <c r="H240" s="3" t="str">
        <f>_xlfn.XLOOKUP(C240,Customers!A:A,Customers!B:B)</f>
        <v xml:space="preserve"> Nawaf Badr</v>
      </c>
      <c r="I240" s="3" t="str">
        <f>_xlfn.XLOOKUP(D240,Products!A:A,Products!B:B)</f>
        <v>Razer Basilisk V3 Pro Mouse</v>
      </c>
    </row>
    <row r="241" spans="1:9" x14ac:dyDescent="0.25">
      <c r="A241" s="3">
        <v>1240</v>
      </c>
      <c r="B241" s="2">
        <v>46001</v>
      </c>
      <c r="C241" s="3">
        <v>90</v>
      </c>
      <c r="D241" s="3">
        <v>112</v>
      </c>
      <c r="E241" s="3">
        <v>2</v>
      </c>
      <c r="F241" s="6">
        <f>_xlfn.XLOOKUP(D241, Products!A:A,Products!E:E, )</f>
        <v>650</v>
      </c>
      <c r="G241" s="5">
        <f t="shared" si="3"/>
        <v>1300</v>
      </c>
      <c r="H241" s="3" t="str">
        <f>_xlfn.XLOOKUP(C241,Customers!A:A,Customers!B:B)</f>
        <v xml:space="preserve"> Ilham Zaki</v>
      </c>
      <c r="I241" s="3" t="str">
        <f>_xlfn.XLOOKUP(D241,Products!A:A,Products!B:B)</f>
        <v>Crucial E100 Gen4 NVMe M.2 - Black - 1TB</v>
      </c>
    </row>
    <row r="242" spans="1:9" x14ac:dyDescent="0.25">
      <c r="A242" s="3">
        <v>1241</v>
      </c>
      <c r="B242" s="2">
        <v>46002</v>
      </c>
      <c r="C242" s="3">
        <v>96</v>
      </c>
      <c r="D242" s="3">
        <v>131</v>
      </c>
      <c r="E242" s="3">
        <v>2</v>
      </c>
      <c r="F242" s="6">
        <f>_xlfn.XLOOKUP(D242, Products!A:A,Products!E:E, )</f>
        <v>3400</v>
      </c>
      <c r="G242" s="5">
        <f t="shared" si="3"/>
        <v>6800</v>
      </c>
      <c r="H242" s="3" t="str">
        <f>_xlfn.XLOOKUP(C242,Customers!A:A,Customers!B:B)</f>
        <v xml:space="preserve"> Amal Fouad</v>
      </c>
      <c r="I242" s="3" t="str">
        <f>_xlfn.XLOOKUP(D242,Products!A:A,Products!B:B)</f>
        <v>Sapphire Nitro+ RX 7900 XTX</v>
      </c>
    </row>
    <row r="243" spans="1:9" x14ac:dyDescent="0.25">
      <c r="A243" s="3">
        <v>1242</v>
      </c>
      <c r="B243" s="2">
        <v>46002</v>
      </c>
      <c r="C243" s="3">
        <v>97</v>
      </c>
      <c r="D243" s="3">
        <v>122</v>
      </c>
      <c r="E243" s="3">
        <v>1</v>
      </c>
      <c r="F243" s="6">
        <f>_xlfn.XLOOKUP(D243, Products!A:A,Products!E:E, )</f>
        <v>1000</v>
      </c>
      <c r="G243" s="5">
        <f t="shared" si="3"/>
        <v>1000</v>
      </c>
      <c r="H243" s="3" t="str">
        <f>_xlfn.XLOOKUP(C243,Customers!A:A,Customers!B:B)</f>
        <v xml:space="preserve"> Saeed Kanaan</v>
      </c>
      <c r="I243" s="3" t="str">
        <f>_xlfn.XLOOKUP(D243,Products!A:A,Products!B:B)</f>
        <v>AMD Ryzen 5 7600x CPU</v>
      </c>
    </row>
    <row r="244" spans="1:9" x14ac:dyDescent="0.25">
      <c r="A244" s="3">
        <v>1243</v>
      </c>
      <c r="B244" s="2">
        <v>46002</v>
      </c>
      <c r="C244" s="3">
        <v>15</v>
      </c>
      <c r="D244" s="3">
        <v>103</v>
      </c>
      <c r="E244" s="3">
        <v>2</v>
      </c>
      <c r="F244" s="6">
        <f>_xlfn.XLOOKUP(D244, Products!A:A,Products!E:E, )</f>
        <v>280</v>
      </c>
      <c r="G244" s="5">
        <f t="shared" si="3"/>
        <v>560</v>
      </c>
      <c r="H244" s="3" t="str">
        <f>_xlfn.XLOOKUP(C244,Customers!A:A,Customers!B:B)</f>
        <v xml:space="preserve"> Abdullah Sami</v>
      </c>
      <c r="I244" s="3" t="str">
        <f>_xlfn.XLOOKUP(D244,Products!A:A,Products!B:B)</f>
        <v>Kayborad_Red_dragon</v>
      </c>
    </row>
    <row r="245" spans="1:9" x14ac:dyDescent="0.25">
      <c r="A245" s="3">
        <v>1244</v>
      </c>
      <c r="B245" s="2">
        <v>46003</v>
      </c>
      <c r="C245" s="3">
        <v>15</v>
      </c>
      <c r="D245" s="3">
        <v>115</v>
      </c>
      <c r="E245" s="3">
        <v>1</v>
      </c>
      <c r="F245" s="6">
        <f>_xlfn.XLOOKUP(D245, Products!A:A,Products!E:E, )</f>
        <v>3000</v>
      </c>
      <c r="G245" s="5">
        <f t="shared" si="3"/>
        <v>3000</v>
      </c>
      <c r="H245" s="3" t="str">
        <f>_xlfn.XLOOKUP(C245,Customers!A:A,Customers!B:B)</f>
        <v xml:space="preserve"> Abdullah Sami</v>
      </c>
      <c r="I245" s="3" t="str">
        <f>_xlfn.XLOOKUP(D245,Products!A:A,Products!B:B)</f>
        <v>Sapphire PULSE AMD Radeon RX 9070 XT 16GB GPU</v>
      </c>
    </row>
    <row r="246" spans="1:9" x14ac:dyDescent="0.25">
      <c r="A246" s="3">
        <v>1245</v>
      </c>
      <c r="B246" s="2">
        <v>46003</v>
      </c>
      <c r="C246" s="3">
        <v>98</v>
      </c>
      <c r="D246" s="3">
        <v>103</v>
      </c>
      <c r="E246" s="3">
        <v>1</v>
      </c>
      <c r="F246" s="6">
        <f>_xlfn.XLOOKUP(D246, Products!A:A,Products!E:E, )</f>
        <v>280</v>
      </c>
      <c r="G246" s="5">
        <f t="shared" si="3"/>
        <v>280</v>
      </c>
      <c r="H246" s="3" t="str">
        <f>_xlfn.XLOOKUP(C246,Customers!A:A,Customers!B:B)</f>
        <v xml:space="preserve"> Hiba Taleb</v>
      </c>
      <c r="I246" s="3" t="str">
        <f>_xlfn.XLOOKUP(D246,Products!A:A,Products!B:B)</f>
        <v>Kayborad_Red_dragon</v>
      </c>
    </row>
    <row r="247" spans="1:9" x14ac:dyDescent="0.25">
      <c r="A247" s="3">
        <v>1246</v>
      </c>
      <c r="B247" s="2">
        <v>46003</v>
      </c>
      <c r="C247" s="3">
        <v>99</v>
      </c>
      <c r="D247" s="3">
        <v>104</v>
      </c>
      <c r="E247" s="3">
        <v>2</v>
      </c>
      <c r="F247" s="6">
        <f>_xlfn.XLOOKUP(D247, Products!A:A,Products!E:E, )</f>
        <v>500</v>
      </c>
      <c r="G247" s="5">
        <f t="shared" si="3"/>
        <v>1000</v>
      </c>
      <c r="H247" s="3" t="str">
        <f>_xlfn.XLOOKUP(C247,Customers!A:A,Customers!B:B)</f>
        <v xml:space="preserve"> Basel Mustafa</v>
      </c>
      <c r="I247" s="3" t="str">
        <f>_xlfn.XLOOKUP(D247,Products!A:A,Products!B:B)</f>
        <v>Kayboard_Razer_Tartrus</v>
      </c>
    </row>
    <row r="248" spans="1:9" x14ac:dyDescent="0.25">
      <c r="A248" s="3">
        <v>1247</v>
      </c>
      <c r="B248" s="2">
        <v>46004</v>
      </c>
      <c r="C248" s="3">
        <v>100</v>
      </c>
      <c r="D248" s="3">
        <v>105</v>
      </c>
      <c r="E248" s="3">
        <v>1</v>
      </c>
      <c r="F248" s="6">
        <f>_xlfn.XLOOKUP(D248, Products!A:A,Products!E:E, )</f>
        <v>700</v>
      </c>
      <c r="G248" s="5">
        <f t="shared" si="3"/>
        <v>700</v>
      </c>
      <c r="H248" s="3" t="str">
        <f>_xlfn.XLOOKUP(C248,Customers!A:A,Customers!B:B)</f>
        <v xml:space="preserve"> Ikram Yusuf</v>
      </c>
      <c r="I248" s="3" t="str">
        <f>_xlfn.XLOOKUP(D248,Products!A:A,Products!B:B)</f>
        <v>HyperX Cloud Alpha</v>
      </c>
    </row>
    <row r="249" spans="1:9" x14ac:dyDescent="0.25">
      <c r="A249" s="3">
        <v>1248</v>
      </c>
      <c r="B249" s="2">
        <v>46004</v>
      </c>
      <c r="C249" s="3">
        <v>101</v>
      </c>
      <c r="D249" s="3">
        <v>115</v>
      </c>
      <c r="E249" s="3">
        <v>2</v>
      </c>
      <c r="F249" s="6">
        <f>_xlfn.XLOOKUP(D249, Products!A:A,Products!E:E, )</f>
        <v>3000</v>
      </c>
      <c r="G249" s="5">
        <f t="shared" si="3"/>
        <v>6000</v>
      </c>
      <c r="H249" s="3" t="str">
        <f>_xlfn.XLOOKUP(C249,Customers!A:A,Customers!B:B)</f>
        <v xml:space="preserve"> Mazen Hatem</v>
      </c>
      <c r="I249" s="3" t="str">
        <f>_xlfn.XLOOKUP(D249,Products!A:A,Products!B:B)</f>
        <v>Sapphire PULSE AMD Radeon RX 9070 XT 16GB GPU</v>
      </c>
    </row>
    <row r="250" spans="1:9" x14ac:dyDescent="0.25">
      <c r="A250" s="3">
        <v>1249</v>
      </c>
      <c r="B250" s="2">
        <v>46005</v>
      </c>
      <c r="C250" s="3">
        <v>45</v>
      </c>
      <c r="D250" s="3">
        <v>115</v>
      </c>
      <c r="E250" s="3">
        <v>2</v>
      </c>
      <c r="F250" s="6">
        <f>_xlfn.XLOOKUP(D250, Products!A:A,Products!E:E, )</f>
        <v>3000</v>
      </c>
      <c r="G250" s="5">
        <f t="shared" si="3"/>
        <v>6000</v>
      </c>
      <c r="H250" s="3" t="str">
        <f>_xlfn.XLOOKUP(C250,Customers!A:A,Customers!B:B)</f>
        <v xml:space="preserve"> Majed Abdullah</v>
      </c>
      <c r="I250" s="3" t="str">
        <f>_xlfn.XLOOKUP(D250,Products!A:A,Products!B:B)</f>
        <v>Sapphire PULSE AMD Radeon RX 9070 XT 16GB GPU</v>
      </c>
    </row>
    <row r="251" spans="1:9" x14ac:dyDescent="0.25">
      <c r="A251" s="3">
        <v>1250</v>
      </c>
      <c r="B251" s="2">
        <v>46005</v>
      </c>
      <c r="C251" s="3">
        <v>55</v>
      </c>
      <c r="D251" s="3">
        <v>105</v>
      </c>
      <c r="E251" s="3">
        <v>1</v>
      </c>
      <c r="F251" s="6">
        <f>_xlfn.XLOOKUP(D251, Products!A:A,Products!E:E, )</f>
        <v>700</v>
      </c>
      <c r="G251" s="5">
        <f t="shared" si="3"/>
        <v>700</v>
      </c>
      <c r="H251" s="3" t="str">
        <f>_xlfn.XLOOKUP(C251,Customers!A:A,Customers!B:B)</f>
        <v xml:space="preserve"> Nasser Hamad</v>
      </c>
      <c r="I251" s="3" t="str">
        <f>_xlfn.XLOOKUP(D251,Products!A:A,Products!B:B)</f>
        <v>HyperX Cloud Alpha</v>
      </c>
    </row>
    <row r="252" spans="1:9" x14ac:dyDescent="0.25">
      <c r="A252" s="3">
        <v>1251</v>
      </c>
      <c r="B252" s="2">
        <v>46005</v>
      </c>
      <c r="C252" s="3">
        <v>87</v>
      </c>
      <c r="D252" s="3">
        <v>126</v>
      </c>
      <c r="E252" s="3">
        <v>2</v>
      </c>
      <c r="F252" s="6">
        <f>_xlfn.XLOOKUP(D252, Products!A:A,Products!E:E, )</f>
        <v>280</v>
      </c>
      <c r="G252" s="5">
        <f t="shared" si="3"/>
        <v>560</v>
      </c>
      <c r="H252" s="3" t="str">
        <f>_xlfn.XLOOKUP(C252,Customers!A:A,Customers!B:B)</f>
        <v xml:space="preserve"> Yazan Kareem</v>
      </c>
      <c r="I252" s="3" t="str">
        <f>_xlfn.XLOOKUP(D252,Products!A:A,Products!B:B)</f>
        <v>Red-dragon K552 Mechanical Keyboard</v>
      </c>
    </row>
    <row r="253" spans="1:9" x14ac:dyDescent="0.25">
      <c r="A253" s="3">
        <v>1252</v>
      </c>
      <c r="B253" s="2">
        <v>46005</v>
      </c>
      <c r="C253" s="3">
        <v>80</v>
      </c>
      <c r="D253" s="3">
        <v>145</v>
      </c>
      <c r="E253" s="3">
        <v>1</v>
      </c>
      <c r="F253" s="6">
        <f>_xlfn.XLOOKUP(D253, Products!A:A,Products!E:E, )</f>
        <v>1700</v>
      </c>
      <c r="G253" s="5">
        <f t="shared" si="3"/>
        <v>1700</v>
      </c>
      <c r="H253" s="3" t="str">
        <f>_xlfn.XLOOKUP(C253,Customers!A:A,Customers!B:B)</f>
        <v xml:space="preserve"> Farah Issa</v>
      </c>
      <c r="I253" s="3" t="str">
        <f>_xlfn.XLOOKUP(D253,Products!A:A,Products!B:B)</f>
        <v>Samsung Odyssey G5 27" QHD 144Hz</v>
      </c>
    </row>
    <row r="254" spans="1:9" x14ac:dyDescent="0.25">
      <c r="A254" s="3">
        <v>1253</v>
      </c>
      <c r="B254" s="2">
        <v>46006</v>
      </c>
      <c r="C254" s="3">
        <v>90</v>
      </c>
      <c r="D254" s="3">
        <v>114</v>
      </c>
      <c r="E254" s="3">
        <v>1</v>
      </c>
      <c r="F254" s="6">
        <f>_xlfn.XLOOKUP(D254, Products!A:A,Products!E:E, )</f>
        <v>1800</v>
      </c>
      <c r="G254" s="5">
        <f t="shared" si="3"/>
        <v>1800</v>
      </c>
      <c r="H254" s="3" t="str">
        <f>_xlfn.XLOOKUP(C254,Customers!A:A,Customers!B:B)</f>
        <v xml:space="preserve"> Ilham Zaki</v>
      </c>
      <c r="I254" s="3" t="str">
        <f>_xlfn.XLOOKUP(D254,Products!A:A,Products!B:B)</f>
        <v>Palit GeForce RTX 5060 Infinity</v>
      </c>
    </row>
    <row r="255" spans="1:9" x14ac:dyDescent="0.25">
      <c r="A255" s="3">
        <v>1254</v>
      </c>
      <c r="B255" s="2">
        <v>46006</v>
      </c>
      <c r="C255" s="3">
        <v>29</v>
      </c>
      <c r="D255" s="3">
        <v>144</v>
      </c>
      <c r="E255" s="3">
        <v>2</v>
      </c>
      <c r="F255" s="6">
        <f>_xlfn.XLOOKUP(D255, Products!A:A,Products!E:E, )</f>
        <v>1600</v>
      </c>
      <c r="G255" s="5">
        <f t="shared" si="3"/>
        <v>3200</v>
      </c>
      <c r="H255" s="3" t="str">
        <f>_xlfn.XLOOKUP(C255,Customers!A:A,Customers!B:B)</f>
        <v xml:space="preserve"> Fahad Turki</v>
      </c>
      <c r="I255" s="3" t="str">
        <f>_xlfn.XLOOKUP(D255,Products!A:A,Products!B:B)</f>
        <v>Dell UltraSharp U2723QE Monitor</v>
      </c>
    </row>
    <row r="256" spans="1:9" x14ac:dyDescent="0.25">
      <c r="A256" s="3">
        <v>1255</v>
      </c>
      <c r="B256" s="2">
        <v>46006</v>
      </c>
      <c r="C256" s="3">
        <v>67</v>
      </c>
      <c r="D256" s="3">
        <v>121</v>
      </c>
      <c r="E256" s="3">
        <v>1</v>
      </c>
      <c r="F256" s="6">
        <f>_xlfn.XLOOKUP(D256, Products!A:A,Products!E:E, )</f>
        <v>1500</v>
      </c>
      <c r="G256" s="5">
        <f t="shared" si="3"/>
        <v>1500</v>
      </c>
      <c r="H256" s="3" t="str">
        <f>_xlfn.XLOOKUP(C256,Customers!A:A,Customers!B:B)</f>
        <v xml:space="preserve"> Bilal Farhan</v>
      </c>
      <c r="I256" s="3" t="str">
        <f>_xlfn.XLOOKUP(D256,Products!A:A,Products!B:B)</f>
        <v>Intel Core Ultra 7 265KF Tray CPU</v>
      </c>
    </row>
    <row r="257" spans="1:9" x14ac:dyDescent="0.25">
      <c r="A257" s="3">
        <v>1256</v>
      </c>
      <c r="B257" s="2">
        <v>46006</v>
      </c>
      <c r="C257" s="3">
        <v>50</v>
      </c>
      <c r="D257" s="3">
        <v>131</v>
      </c>
      <c r="E257" s="3">
        <v>1</v>
      </c>
      <c r="F257" s="6">
        <f>_xlfn.XLOOKUP(D257, Products!A:A,Products!E:E, )</f>
        <v>3400</v>
      </c>
      <c r="G257" s="5">
        <f t="shared" si="3"/>
        <v>3400</v>
      </c>
      <c r="H257" s="3" t="str">
        <f>_xlfn.XLOOKUP(C257,Customers!A:A,Customers!B:B)</f>
        <v xml:space="preserve"> Hanan Adel</v>
      </c>
      <c r="I257" s="3" t="str">
        <f>_xlfn.XLOOKUP(D257,Products!A:A,Products!B:B)</f>
        <v>Sapphire Nitro+ RX 7900 XTX</v>
      </c>
    </row>
    <row r="258" spans="1:9" x14ac:dyDescent="0.25">
      <c r="A258" s="3">
        <v>1257</v>
      </c>
      <c r="B258" s="2">
        <v>46006</v>
      </c>
      <c r="C258" s="3">
        <v>18</v>
      </c>
      <c r="D258" s="3">
        <v>117</v>
      </c>
      <c r="E258" s="3">
        <v>1</v>
      </c>
      <c r="F258" s="6">
        <f>_xlfn.XLOOKUP(D258, Products!A:A,Products!E:E, )</f>
        <v>900</v>
      </c>
      <c r="G258" s="5">
        <f t="shared" ref="G258:G260" si="4">E258 *F258</f>
        <v>900</v>
      </c>
      <c r="H258" s="3" t="str">
        <f>_xlfn.XLOOKUP(C258,Customers!A:A,Customers!B:B)</f>
        <v xml:space="preserve"> Dana Faisal</v>
      </c>
      <c r="I258" s="3" t="str">
        <f>_xlfn.XLOOKUP(D258,Products!A:A,Products!B:B)</f>
        <v>MSI GeForce RTX 3050</v>
      </c>
    </row>
    <row r="259" spans="1:9" x14ac:dyDescent="0.25">
      <c r="A259" s="3">
        <v>1258</v>
      </c>
      <c r="B259" s="2">
        <v>46007</v>
      </c>
      <c r="C259" s="3">
        <v>49</v>
      </c>
      <c r="D259" s="3">
        <v>109</v>
      </c>
      <c r="E259" s="3">
        <v>2</v>
      </c>
      <c r="F259" s="6">
        <f>_xlfn.XLOOKUP(D259, Products!A:A,Products!E:E, )</f>
        <v>1600</v>
      </c>
      <c r="G259" s="5">
        <f t="shared" si="4"/>
        <v>3200</v>
      </c>
      <c r="H259" s="3" t="str">
        <f>_xlfn.XLOOKUP(C259,Customers!A:A,Customers!B:B)</f>
        <v xml:space="preserve"> Muteb Khalid</v>
      </c>
      <c r="I259" s="3" t="str">
        <f>_xlfn.XLOOKUP(D259,Products!A:A,Products!B:B)</f>
        <v>Xbox_One</v>
      </c>
    </row>
    <row r="260" spans="1:9" x14ac:dyDescent="0.25">
      <c r="A260" s="3">
        <v>1259</v>
      </c>
      <c r="B260" s="2">
        <v>46007</v>
      </c>
      <c r="C260" s="3">
        <v>22</v>
      </c>
      <c r="D260" s="3">
        <v>119</v>
      </c>
      <c r="E260" s="3">
        <v>2</v>
      </c>
      <c r="F260" s="6">
        <f>_xlfn.XLOOKUP(D260, Products!A:A,Products!E:E, )</f>
        <v>1400</v>
      </c>
      <c r="G260" s="5">
        <f t="shared" si="4"/>
        <v>2800</v>
      </c>
      <c r="H260" s="3" t="str">
        <f>_xlfn.XLOOKUP(C260,Customers!A:A,Customers!B:B)</f>
        <v xml:space="preserve"> Rania Sultan</v>
      </c>
      <c r="I260" s="3" t="str">
        <f>_xlfn.XLOOKUP(D260,Products!A:A,Products!B:B)</f>
        <v>Intel Core i7-13700 CPU</v>
      </c>
    </row>
    <row r="261" spans="1:9" x14ac:dyDescent="0.25">
      <c r="A261" s="3">
        <v>1260</v>
      </c>
      <c r="B261" s="2">
        <v>46007</v>
      </c>
      <c r="C261" s="3">
        <v>102</v>
      </c>
      <c r="D261" s="3">
        <v>100</v>
      </c>
      <c r="E261" s="3">
        <v>3</v>
      </c>
      <c r="F261" s="6">
        <f>_xlfn.XLOOKUP(D261, Products!A:A,Products!E:E, )</f>
        <v>1000</v>
      </c>
      <c r="G261" s="5">
        <f>E261 *F261</f>
        <v>3000</v>
      </c>
      <c r="H261" s="3" t="str">
        <f>_xlfn.XLOOKUP(C261,Customers!A:A,Customers!B:B)</f>
        <v>Yousef Mohammed</v>
      </c>
      <c r="I261" s="3" t="str">
        <f>_xlfn.XLOOKUP(D261,Products!A:A,Products!B:B)</f>
        <v>SteelSeries Arctis 7</v>
      </c>
    </row>
    <row r="262" spans="1:9" x14ac:dyDescent="0.25">
      <c r="A262" s="3">
        <v>1261</v>
      </c>
      <c r="B262" s="2">
        <v>46007</v>
      </c>
      <c r="C262" s="3">
        <v>103</v>
      </c>
      <c r="D262" s="3">
        <v>114</v>
      </c>
      <c r="E262" s="3">
        <v>4</v>
      </c>
      <c r="F262" s="6">
        <f>_xlfn.XLOOKUP(D262, Products!A:A,Products!E:E, )</f>
        <v>1800</v>
      </c>
      <c r="G262" s="5">
        <f t="shared" ref="G262:G298" si="5">E262 *F262</f>
        <v>7200</v>
      </c>
      <c r="H262" s="3" t="str">
        <f>_xlfn.XLOOKUP(C262,Customers!A:A,Customers!B:B)</f>
        <v>Turky Ali</v>
      </c>
      <c r="I262" s="3" t="str">
        <f>_xlfn.XLOOKUP(D262,Products!A:A,Products!B:B)</f>
        <v>Palit GeForce RTX 5060 Infinity</v>
      </c>
    </row>
    <row r="263" spans="1:9" x14ac:dyDescent="0.25">
      <c r="A263" s="3">
        <v>1262</v>
      </c>
      <c r="B263" s="2">
        <v>46008</v>
      </c>
      <c r="C263" s="3">
        <v>104</v>
      </c>
      <c r="D263" s="3">
        <v>121</v>
      </c>
      <c r="E263" s="3">
        <v>1</v>
      </c>
      <c r="F263" s="6">
        <f>_xlfn.XLOOKUP(D263, Products!A:A,Products!E:E, )</f>
        <v>1500</v>
      </c>
      <c r="G263" s="5">
        <f t="shared" si="5"/>
        <v>1500</v>
      </c>
      <c r="H263" s="3" t="str">
        <f>_xlfn.XLOOKUP(C263,Customers!A:A,Customers!B:B)</f>
        <v>Saad Ahmed</v>
      </c>
      <c r="I263" s="3" t="str">
        <f>_xlfn.XLOOKUP(D263,Products!A:A,Products!B:B)</f>
        <v>Intel Core Ultra 7 265KF Tray CPU</v>
      </c>
    </row>
    <row r="264" spans="1:9" x14ac:dyDescent="0.25">
      <c r="A264" s="3">
        <v>1263</v>
      </c>
      <c r="B264" s="2">
        <v>46008</v>
      </c>
      <c r="C264" s="3">
        <v>80</v>
      </c>
      <c r="D264" s="3">
        <v>100</v>
      </c>
      <c r="E264" s="3">
        <v>2</v>
      </c>
      <c r="F264" s="6">
        <f>_xlfn.XLOOKUP(D264, Products!A:A,Products!E:E, )</f>
        <v>1000</v>
      </c>
      <c r="G264" s="5">
        <f t="shared" si="5"/>
        <v>2000</v>
      </c>
      <c r="H264" s="3" t="str">
        <f>_xlfn.XLOOKUP(C264,Customers!A:A,Customers!B:B)</f>
        <v xml:space="preserve"> Farah Issa</v>
      </c>
      <c r="I264" s="3" t="str">
        <f>_xlfn.XLOOKUP(D264,Products!A:A,Products!B:B)</f>
        <v>SteelSeries Arctis 7</v>
      </c>
    </row>
    <row r="265" spans="1:9" x14ac:dyDescent="0.25">
      <c r="A265" s="3">
        <v>1264</v>
      </c>
      <c r="B265" s="2">
        <v>46008</v>
      </c>
      <c r="C265" s="3">
        <v>105</v>
      </c>
      <c r="D265" s="3">
        <v>111</v>
      </c>
      <c r="E265" s="3">
        <v>2</v>
      </c>
      <c r="F265" s="6">
        <f>_xlfn.XLOOKUP(D265, Products!A:A,Products!E:E, )</f>
        <v>400</v>
      </c>
      <c r="G265" s="5">
        <f t="shared" si="5"/>
        <v>800</v>
      </c>
      <c r="H265" s="3" t="str">
        <f>_xlfn.XLOOKUP(C265,Customers!A:A,Customers!B:B)</f>
        <v>Sara Mohammed</v>
      </c>
      <c r="I265" s="3" t="str">
        <f>_xlfn.XLOOKUP(D265,Products!A:A,Products!B:B)</f>
        <v>XPG GAMMIX S60 Gen 4 NVME M.2 - Black - 512gb</v>
      </c>
    </row>
    <row r="266" spans="1:9" x14ac:dyDescent="0.25">
      <c r="A266" s="3">
        <v>1265</v>
      </c>
      <c r="B266" s="2">
        <v>46008</v>
      </c>
      <c r="C266" s="3">
        <v>106</v>
      </c>
      <c r="D266" s="3">
        <v>118</v>
      </c>
      <c r="E266" s="3">
        <v>2</v>
      </c>
      <c r="F266" s="6">
        <f>_xlfn.XLOOKUP(D266, Products!A:A,Products!E:E, )</f>
        <v>1000</v>
      </c>
      <c r="G266" s="5">
        <f t="shared" si="5"/>
        <v>2000</v>
      </c>
      <c r="H266" s="3" t="str">
        <f>_xlfn.XLOOKUP(C266,Customers!A:A,Customers!B:B)</f>
        <v>Yasser Mfrah</v>
      </c>
      <c r="I266" s="3" t="str">
        <f>_xlfn.XLOOKUP(D266,Products!A:A,Products!B:B)</f>
        <v>Intel Core Ultra 5 245K CPU</v>
      </c>
    </row>
    <row r="267" spans="1:9" x14ac:dyDescent="0.25">
      <c r="A267" s="3">
        <v>1266</v>
      </c>
      <c r="B267" s="2">
        <v>46009</v>
      </c>
      <c r="C267" s="3">
        <v>40</v>
      </c>
      <c r="D267" s="3">
        <v>121</v>
      </c>
      <c r="E267" s="3">
        <v>2</v>
      </c>
      <c r="F267" s="6">
        <f>_xlfn.XLOOKUP(D267, Products!A:A,Products!E:E, )</f>
        <v>1500</v>
      </c>
      <c r="G267" s="5">
        <f t="shared" si="5"/>
        <v>3000</v>
      </c>
      <c r="H267" s="3" t="str">
        <f>_xlfn.XLOOKUP(C267,Customers!A:A,Customers!B:B)</f>
        <v xml:space="preserve"> Nada Refaat</v>
      </c>
      <c r="I267" s="3" t="str">
        <f>_xlfn.XLOOKUP(D267,Products!A:A,Products!B:B)</f>
        <v>Intel Core Ultra 7 265KF Tray CPU</v>
      </c>
    </row>
    <row r="268" spans="1:9" x14ac:dyDescent="0.25">
      <c r="A268" s="3">
        <v>1267</v>
      </c>
      <c r="B268" s="2">
        <v>46009</v>
      </c>
      <c r="C268" s="3">
        <v>108</v>
      </c>
      <c r="D268" s="3">
        <v>130</v>
      </c>
      <c r="E268" s="3">
        <v>2</v>
      </c>
      <c r="F268" s="6">
        <f>_xlfn.XLOOKUP(D268, Products!A:A,Products!E:E, )</f>
        <v>2250</v>
      </c>
      <c r="G268" s="5">
        <f t="shared" si="5"/>
        <v>4500</v>
      </c>
      <c r="H268" s="3" t="str">
        <f>_xlfn.XLOOKUP(C268,Customers!A:A,Customers!B:B)</f>
        <v>Ahmed Ali</v>
      </c>
      <c r="I268" s="3" t="str">
        <f>_xlfn.XLOOKUP(D268,Products!A:A,Products!B:B)</f>
        <v>MSI RTX 4070 Ti Super Gaming X</v>
      </c>
    </row>
    <row r="269" spans="1:9" x14ac:dyDescent="0.25">
      <c r="A269" s="3">
        <v>1268</v>
      </c>
      <c r="B269" s="2">
        <v>46009</v>
      </c>
      <c r="C269" s="3">
        <v>32</v>
      </c>
      <c r="D269" s="3">
        <v>140</v>
      </c>
      <c r="E269" s="3">
        <v>2</v>
      </c>
      <c r="F269" s="6">
        <f>_xlfn.XLOOKUP(D269, Products!A:A,Products!E:E, )</f>
        <v>500</v>
      </c>
      <c r="G269" s="5">
        <f t="shared" si="5"/>
        <v>1000</v>
      </c>
      <c r="H269" s="3" t="str">
        <f>_xlfn.XLOOKUP(C269,Customers!A:A,Customers!B:B)</f>
        <v xml:space="preserve"> Rana Bilal</v>
      </c>
      <c r="I269" s="3" t="str">
        <f>_xlfn.XLOOKUP(D269,Products!A:A,Products!B:B)</f>
        <v>WD Black SN850X 1TB</v>
      </c>
    </row>
    <row r="270" spans="1:9" x14ac:dyDescent="0.25">
      <c r="A270" s="3">
        <v>1269</v>
      </c>
      <c r="B270" s="2">
        <v>46009</v>
      </c>
      <c r="C270" s="3">
        <v>18</v>
      </c>
      <c r="D270" s="3">
        <v>120</v>
      </c>
      <c r="E270" s="3">
        <v>2</v>
      </c>
      <c r="F270" s="6">
        <f>_xlfn.XLOOKUP(D270, Products!A:A,Products!E:E, )</f>
        <v>2000</v>
      </c>
      <c r="G270" s="5">
        <f t="shared" si="5"/>
        <v>4000</v>
      </c>
      <c r="H270" s="3" t="str">
        <f>_xlfn.XLOOKUP(C270,Customers!A:A,Customers!B:B)</f>
        <v xml:space="preserve"> Dana Faisal</v>
      </c>
      <c r="I270" s="3" t="str">
        <f>_xlfn.XLOOKUP(D270,Products!A:A,Products!B:B)</f>
        <v>Intel Core i9-13900 CPU</v>
      </c>
    </row>
    <row r="271" spans="1:9" x14ac:dyDescent="0.25">
      <c r="A271" s="3">
        <v>1270</v>
      </c>
      <c r="B271" s="2">
        <v>46009</v>
      </c>
      <c r="C271" s="3">
        <v>109</v>
      </c>
      <c r="D271" s="3">
        <v>114</v>
      </c>
      <c r="E271" s="3">
        <v>1</v>
      </c>
      <c r="F271" s="6">
        <f>_xlfn.XLOOKUP(D271, Products!A:A,Products!E:E, )</f>
        <v>1800</v>
      </c>
      <c r="G271" s="5">
        <f t="shared" si="5"/>
        <v>1800</v>
      </c>
      <c r="H271" s="3" t="str">
        <f>_xlfn.XLOOKUP(C271,Customers!A:A,Customers!B:B)</f>
        <v>Ali Saud</v>
      </c>
      <c r="I271" s="3" t="str">
        <f>_xlfn.XLOOKUP(D271,Products!A:A,Products!B:B)</f>
        <v>Palit GeForce RTX 5060 Infinity</v>
      </c>
    </row>
    <row r="272" spans="1:9" x14ac:dyDescent="0.25">
      <c r="A272" s="3">
        <v>1271</v>
      </c>
      <c r="B272" s="2">
        <v>46010</v>
      </c>
      <c r="C272" s="3">
        <v>110</v>
      </c>
      <c r="D272" s="3">
        <v>117</v>
      </c>
      <c r="E272" s="3">
        <v>1</v>
      </c>
      <c r="F272" s="6">
        <f>_xlfn.XLOOKUP(D272, Products!A:A,Products!E:E, )</f>
        <v>900</v>
      </c>
      <c r="G272" s="5">
        <f t="shared" si="5"/>
        <v>900</v>
      </c>
      <c r="H272" s="3" t="str">
        <f>_xlfn.XLOOKUP(C272,Customers!A:A,Customers!B:B)</f>
        <v>Mona Mnasor</v>
      </c>
      <c r="I272" s="3" t="str">
        <f>_xlfn.XLOOKUP(D272,Products!A:A,Products!B:B)</f>
        <v>MSI GeForce RTX 3050</v>
      </c>
    </row>
    <row r="273" spans="1:9" x14ac:dyDescent="0.25">
      <c r="A273" s="3">
        <v>1272</v>
      </c>
      <c r="B273" s="2">
        <v>46010</v>
      </c>
      <c r="C273" s="3">
        <v>11</v>
      </c>
      <c r="D273" s="3">
        <v>119</v>
      </c>
      <c r="E273" s="3">
        <v>1</v>
      </c>
      <c r="F273" s="6">
        <f>_xlfn.XLOOKUP(D273, Products!A:A,Products!E:E, )</f>
        <v>1400</v>
      </c>
      <c r="G273" s="5">
        <f t="shared" si="5"/>
        <v>1400</v>
      </c>
      <c r="H273" s="3" t="str">
        <f>_xlfn.XLOOKUP(C273,Customers!A:A,Customers!B:B)</f>
        <v xml:space="preserve"> Youssef Nasser</v>
      </c>
      <c r="I273" s="3" t="str">
        <f>_xlfn.XLOOKUP(D273,Products!A:A,Products!B:B)</f>
        <v>Intel Core i7-13700 CPU</v>
      </c>
    </row>
    <row r="274" spans="1:9" x14ac:dyDescent="0.25">
      <c r="A274" s="3">
        <v>1273</v>
      </c>
      <c r="B274" s="2">
        <v>46010</v>
      </c>
      <c r="C274" s="3">
        <v>5</v>
      </c>
      <c r="D274" s="3">
        <v>124</v>
      </c>
      <c r="E274" s="3">
        <v>1</v>
      </c>
      <c r="F274" s="6">
        <f>_xlfn.XLOOKUP(D274, Products!A:A,Products!E:E, )</f>
        <v>3300</v>
      </c>
      <c r="G274" s="5">
        <f t="shared" si="5"/>
        <v>3300</v>
      </c>
      <c r="H274" s="3" t="str">
        <f>_xlfn.XLOOKUP(C274,Customers!A:A,Customers!B:B)</f>
        <v xml:space="preserve"> Omar Hassan</v>
      </c>
      <c r="I274" s="3" t="str">
        <f>_xlfn.XLOOKUP(D274,Products!A:A,Products!B:B)</f>
        <v>AMD Ryzen 9 9950X3D CPU</v>
      </c>
    </row>
    <row r="275" spans="1:9" x14ac:dyDescent="0.25">
      <c r="A275" s="3">
        <v>1274</v>
      </c>
      <c r="B275" s="2">
        <v>46010</v>
      </c>
      <c r="C275" s="3">
        <v>111</v>
      </c>
      <c r="D275" s="3">
        <v>143</v>
      </c>
      <c r="E275" s="3">
        <v>4</v>
      </c>
      <c r="F275" s="6">
        <f>_xlfn.XLOOKUP(D275, Products!A:A,Products!E:E, )</f>
        <v>400</v>
      </c>
      <c r="G275" s="5">
        <f t="shared" si="5"/>
        <v>1600</v>
      </c>
      <c r="H275" s="3" t="str">
        <f>_xlfn.XLOOKUP(C275,Customers!A:A,Customers!B:B)</f>
        <v>Jahed Eid</v>
      </c>
      <c r="I275" s="3" t="str">
        <f>_xlfn.XLOOKUP(D275,Products!A:A,Products!B:B)</f>
        <v>HP Pavilion Gaming Mouse 300</v>
      </c>
    </row>
    <row r="276" spans="1:9" x14ac:dyDescent="0.25">
      <c r="A276" s="3">
        <v>1275</v>
      </c>
      <c r="B276" s="2">
        <v>46010</v>
      </c>
      <c r="C276" s="3">
        <v>14</v>
      </c>
      <c r="D276" s="3">
        <v>130</v>
      </c>
      <c r="E276" s="3">
        <v>3</v>
      </c>
      <c r="F276" s="6">
        <f>_xlfn.XLOOKUP(D276, Products!A:A,Products!E:E, )</f>
        <v>2250</v>
      </c>
      <c r="G276" s="5">
        <f>E276 *F276</f>
        <v>6750</v>
      </c>
      <c r="H276" s="3" t="str">
        <f>_xlfn.XLOOKUP(C276,Customers!A:A,Customers!B:B)</f>
        <v xml:space="preserve"> Reem Adel</v>
      </c>
      <c r="I276" s="3" t="str">
        <f>_xlfn.XLOOKUP(D276,Products!A:A,Products!B:B)</f>
        <v>MSI RTX 4070 Ti Super Gaming X</v>
      </c>
    </row>
    <row r="277" spans="1:9" x14ac:dyDescent="0.25">
      <c r="A277" s="3">
        <v>1276</v>
      </c>
      <c r="B277" s="2">
        <v>46010</v>
      </c>
      <c r="C277" s="3">
        <v>66</v>
      </c>
      <c r="D277" s="3">
        <v>123</v>
      </c>
      <c r="E277" s="3">
        <v>1</v>
      </c>
      <c r="F277" s="6">
        <f>_xlfn.XLOOKUP(D277, Products!A:A,Products!E:E, )</f>
        <v>1800</v>
      </c>
      <c r="G277" s="5">
        <f>E277 *F277</f>
        <v>1800</v>
      </c>
      <c r="H277" s="3" t="str">
        <f>_xlfn.XLOOKUP(C277,Customers!A:A,Customers!B:B)</f>
        <v xml:space="preserve"> Suha Qais</v>
      </c>
      <c r="I277" s="3" t="str">
        <f>_xlfn.XLOOKUP(D277,Products!A:A,Products!B:B)</f>
        <v>AMD Ryzen 9 7900x CPU</v>
      </c>
    </row>
    <row r="278" spans="1:9" x14ac:dyDescent="0.25">
      <c r="A278" s="3">
        <v>1277</v>
      </c>
      <c r="B278" s="2">
        <v>46010</v>
      </c>
      <c r="C278" s="3">
        <v>53</v>
      </c>
      <c r="D278" s="3">
        <v>123</v>
      </c>
      <c r="E278" s="3">
        <v>1</v>
      </c>
      <c r="F278" s="6">
        <f>_xlfn.XLOOKUP(D278, Products!A:A,Products!E:E, )</f>
        <v>1800</v>
      </c>
      <c r="G278" s="5">
        <f>E278 *F278</f>
        <v>1800</v>
      </c>
      <c r="H278" s="3" t="str">
        <f>_xlfn.XLOOKUP(C278,Customers!A:A,Customers!B:B)</f>
        <v xml:space="preserve"> Sami Fawzi</v>
      </c>
      <c r="I278" s="3" t="str">
        <f>_xlfn.XLOOKUP(D278,Products!A:A,Products!B:B)</f>
        <v>AMD Ryzen 9 7900x CPU</v>
      </c>
    </row>
    <row r="279" spans="1:9" x14ac:dyDescent="0.25">
      <c r="A279" s="3">
        <v>1278</v>
      </c>
      <c r="B279" s="2">
        <v>46011</v>
      </c>
      <c r="C279" s="3">
        <v>78</v>
      </c>
      <c r="D279" s="3">
        <v>123</v>
      </c>
      <c r="E279" s="3">
        <v>1</v>
      </c>
      <c r="F279" s="6">
        <f>_xlfn.XLOOKUP(D279, Products!A:A,Products!E:E, )</f>
        <v>1800</v>
      </c>
      <c r="G279" s="5">
        <f t="shared" si="5"/>
        <v>1800</v>
      </c>
      <c r="H279" s="3" t="str">
        <f>_xlfn.XLOOKUP(C279,Customers!A:A,Customers!B:B)</f>
        <v xml:space="preserve"> Amani Lutfi</v>
      </c>
      <c r="I279" s="3" t="str">
        <f>_xlfn.XLOOKUP(D279,Products!A:A,Products!B:B)</f>
        <v>AMD Ryzen 9 7900x CPU</v>
      </c>
    </row>
    <row r="280" spans="1:9" x14ac:dyDescent="0.25">
      <c r="A280" s="3">
        <v>1279</v>
      </c>
      <c r="B280" s="2">
        <v>46011</v>
      </c>
      <c r="C280" s="3">
        <v>83</v>
      </c>
      <c r="D280" s="3">
        <v>122</v>
      </c>
      <c r="E280" s="3">
        <v>1</v>
      </c>
      <c r="F280" s="6">
        <f>_xlfn.XLOOKUP(D280, Products!A:A,Products!E:E, )</f>
        <v>1000</v>
      </c>
      <c r="G280" s="5">
        <f t="shared" si="5"/>
        <v>1000</v>
      </c>
      <c r="H280" s="3" t="str">
        <f>_xlfn.XLOOKUP(C280,Customers!A:A,Customers!B:B)</f>
        <v xml:space="preserve"> Marwan Tawfiq</v>
      </c>
      <c r="I280" s="3" t="str">
        <f>_xlfn.XLOOKUP(D280,Products!A:A,Products!B:B)</f>
        <v>AMD Ryzen 5 7600x CPU</v>
      </c>
    </row>
    <row r="281" spans="1:9" x14ac:dyDescent="0.25">
      <c r="A281" s="3">
        <v>1280</v>
      </c>
      <c r="B281" s="2">
        <v>46011</v>
      </c>
      <c r="C281" s="3">
        <v>112</v>
      </c>
      <c r="D281" s="3">
        <v>110</v>
      </c>
      <c r="E281" s="3">
        <v>1</v>
      </c>
      <c r="F281" s="6">
        <f>_xlfn.XLOOKUP(D281, Products!A:A,Products!E:E, )</f>
        <v>1200</v>
      </c>
      <c r="G281" s="5">
        <f t="shared" si="5"/>
        <v>1200</v>
      </c>
      <c r="H281" s="3" t="str">
        <f>_xlfn.XLOOKUP(C281,Customers!A:A,Customers!B:B)</f>
        <v>Rayan Abdullah</v>
      </c>
      <c r="I281" s="3" t="str">
        <f>_xlfn.XLOOKUP(D281,Products!A:A,Products!B:B)</f>
        <v>XPG Gammix S70 Blade Gen 4 M.2 - 2TB</v>
      </c>
    </row>
    <row r="282" spans="1:9" x14ac:dyDescent="0.25">
      <c r="A282" s="3">
        <v>1281</v>
      </c>
      <c r="B282" s="2">
        <v>46011</v>
      </c>
      <c r="C282" s="3">
        <v>100</v>
      </c>
      <c r="D282" s="3">
        <v>105</v>
      </c>
      <c r="E282" s="3">
        <v>1</v>
      </c>
      <c r="F282" s="6">
        <f>_xlfn.XLOOKUP(D282, Products!A:A,Products!E:E, )</f>
        <v>700</v>
      </c>
      <c r="G282" s="5">
        <f t="shared" si="5"/>
        <v>700</v>
      </c>
      <c r="H282" s="3" t="str">
        <f>_xlfn.XLOOKUP(C282,Customers!A:A,Customers!B:B)</f>
        <v xml:space="preserve"> Ikram Yusuf</v>
      </c>
      <c r="I282" s="3" t="str">
        <f>_xlfn.XLOOKUP(D282,Products!A:A,Products!B:B)</f>
        <v>HyperX Cloud Alpha</v>
      </c>
    </row>
    <row r="283" spans="1:9" x14ac:dyDescent="0.25">
      <c r="A283" s="3">
        <v>1282</v>
      </c>
      <c r="B283" s="2">
        <v>46011</v>
      </c>
      <c r="C283" s="3">
        <v>90</v>
      </c>
      <c r="D283" s="3">
        <v>108</v>
      </c>
      <c r="E283" s="3">
        <v>1</v>
      </c>
      <c r="F283" s="6">
        <f>_xlfn.XLOOKUP(D283, Products!A:A,Products!E:E, )</f>
        <v>400</v>
      </c>
      <c r="G283" s="5">
        <f t="shared" si="5"/>
        <v>400</v>
      </c>
      <c r="H283" s="3" t="str">
        <f>_xlfn.XLOOKUP(C283,Customers!A:A,Customers!B:B)</f>
        <v xml:space="preserve"> Ilham Zaki</v>
      </c>
      <c r="I283" s="3" t="str">
        <f>_xlfn.XLOOKUP(D283,Products!A:A,Products!B:B)</f>
        <v>Logitech MX Pro  Mouse</v>
      </c>
    </row>
    <row r="284" spans="1:9" x14ac:dyDescent="0.25">
      <c r="A284" s="3">
        <v>1283</v>
      </c>
      <c r="B284" s="2">
        <v>46011</v>
      </c>
      <c r="C284" s="3">
        <v>99</v>
      </c>
      <c r="D284" s="3">
        <v>109</v>
      </c>
      <c r="E284" s="3">
        <v>1</v>
      </c>
      <c r="F284" s="6">
        <f>_xlfn.XLOOKUP(D284, Products!A:A,Products!E:E, )</f>
        <v>1600</v>
      </c>
      <c r="G284" s="5">
        <f t="shared" si="5"/>
        <v>1600</v>
      </c>
      <c r="H284" s="3" t="str">
        <f>_xlfn.XLOOKUP(C284,Customers!A:A,Customers!B:B)</f>
        <v xml:space="preserve"> Basel Mustafa</v>
      </c>
      <c r="I284" s="3" t="str">
        <f>_xlfn.XLOOKUP(D284,Products!A:A,Products!B:B)</f>
        <v>Xbox_One</v>
      </c>
    </row>
    <row r="285" spans="1:9" x14ac:dyDescent="0.25">
      <c r="A285" s="3">
        <v>1284</v>
      </c>
      <c r="B285" s="2">
        <v>46011</v>
      </c>
      <c r="C285" s="3">
        <v>113</v>
      </c>
      <c r="D285" s="3">
        <v>130</v>
      </c>
      <c r="E285" s="3">
        <v>1</v>
      </c>
      <c r="F285" s="6">
        <f>_xlfn.XLOOKUP(D285, Products!A:A,Products!E:E, )</f>
        <v>2250</v>
      </c>
      <c r="G285" s="5">
        <f t="shared" si="5"/>
        <v>2250</v>
      </c>
      <c r="H285" s="3" t="str">
        <f>_xlfn.XLOOKUP(C285,Customers!A:A,Customers!B:B)</f>
        <v>Majed Naser</v>
      </c>
      <c r="I285" s="3" t="str">
        <f>_xlfn.XLOOKUP(D285,Products!A:A,Products!B:B)</f>
        <v>MSI RTX 4070 Ti Super Gaming X</v>
      </c>
    </row>
    <row r="286" spans="1:9" x14ac:dyDescent="0.25">
      <c r="A286" s="3">
        <v>1285</v>
      </c>
      <c r="B286" s="2">
        <v>46011</v>
      </c>
      <c r="C286" s="3">
        <v>114</v>
      </c>
      <c r="D286" s="3">
        <v>103</v>
      </c>
      <c r="E286" s="3">
        <v>1</v>
      </c>
      <c r="F286" s="6">
        <f>_xlfn.XLOOKUP(D286, Products!A:A,Products!E:E, )</f>
        <v>280</v>
      </c>
      <c r="G286" s="5">
        <f t="shared" si="5"/>
        <v>280</v>
      </c>
      <c r="H286" s="3" t="str">
        <f>_xlfn.XLOOKUP(C286,Customers!A:A,Customers!B:B)</f>
        <v>Soha Yousef</v>
      </c>
      <c r="I286" s="3" t="str">
        <f>_xlfn.XLOOKUP(D286,Products!A:A,Products!B:B)</f>
        <v>Kayborad_Red_dragon</v>
      </c>
    </row>
    <row r="287" spans="1:9" x14ac:dyDescent="0.25">
      <c r="A287" s="3">
        <v>1286</v>
      </c>
      <c r="B287" s="2">
        <v>46011</v>
      </c>
      <c r="C287" s="3">
        <v>115</v>
      </c>
      <c r="D287" s="3">
        <v>120</v>
      </c>
      <c r="E287" s="3">
        <v>1</v>
      </c>
      <c r="F287" s="6">
        <f>_xlfn.XLOOKUP(D287, Products!A:A,Products!E:E, )</f>
        <v>2000</v>
      </c>
      <c r="G287" s="5">
        <f t="shared" si="5"/>
        <v>2000</v>
      </c>
      <c r="H287" s="3" t="str">
        <f>_xlfn.XLOOKUP(C287,Customers!A:A,Customers!B:B)</f>
        <v>Nada Ali</v>
      </c>
      <c r="I287" s="3" t="str">
        <f>_xlfn.XLOOKUP(D287,Products!A:A,Products!B:B)</f>
        <v>Intel Core i9-13900 CPU</v>
      </c>
    </row>
    <row r="288" spans="1:9" x14ac:dyDescent="0.25">
      <c r="A288" s="3">
        <v>1287</v>
      </c>
      <c r="B288" s="2">
        <v>46011</v>
      </c>
      <c r="C288" s="3">
        <v>45</v>
      </c>
      <c r="D288" s="3">
        <v>108</v>
      </c>
      <c r="E288" s="3">
        <v>1</v>
      </c>
      <c r="F288" s="6">
        <f>_xlfn.XLOOKUP(D288, Products!A:A,Products!E:E, )</f>
        <v>400</v>
      </c>
      <c r="G288" s="5">
        <f t="shared" si="5"/>
        <v>400</v>
      </c>
      <c r="H288" s="3" t="str">
        <f>_xlfn.XLOOKUP(C288,Customers!A:A,Customers!B:B)</f>
        <v xml:space="preserve"> Majed Abdullah</v>
      </c>
      <c r="I288" s="3" t="str">
        <f>_xlfn.XLOOKUP(D288,Products!A:A,Products!B:B)</f>
        <v>Logitech MX Pro  Mouse</v>
      </c>
    </row>
    <row r="289" spans="1:9" x14ac:dyDescent="0.25">
      <c r="A289" s="3">
        <v>1288</v>
      </c>
      <c r="B289" s="2">
        <v>46011</v>
      </c>
      <c r="C289" s="3">
        <v>40</v>
      </c>
      <c r="D289" s="3">
        <v>109</v>
      </c>
      <c r="E289" s="3">
        <v>1</v>
      </c>
      <c r="F289" s="6">
        <f>_xlfn.XLOOKUP(D289, Products!A:A,Products!E:E, )</f>
        <v>1600</v>
      </c>
      <c r="G289" s="5">
        <f t="shared" si="5"/>
        <v>1600</v>
      </c>
      <c r="H289" s="3" t="str">
        <f>_xlfn.XLOOKUP(C289,Customers!A:A,Customers!B:B)</f>
        <v xml:space="preserve"> Nada Refaat</v>
      </c>
      <c r="I289" s="3" t="str">
        <f>_xlfn.XLOOKUP(D289,Products!A:A,Products!B:B)</f>
        <v>Xbox_One</v>
      </c>
    </row>
    <row r="290" spans="1:9" x14ac:dyDescent="0.25">
      <c r="A290" s="3">
        <v>1289</v>
      </c>
      <c r="B290" s="2">
        <v>46011</v>
      </c>
      <c r="C290" s="3">
        <v>2</v>
      </c>
      <c r="D290" s="3">
        <v>114</v>
      </c>
      <c r="E290" s="3">
        <v>2</v>
      </c>
      <c r="F290" s="6">
        <f>_xlfn.XLOOKUP(D290, Products!A:A,Products!E:E, )</f>
        <v>1800</v>
      </c>
      <c r="G290" s="5">
        <f t="shared" si="5"/>
        <v>3600</v>
      </c>
      <c r="H290" s="3" t="str">
        <f>_xlfn.XLOOKUP(C290,Customers!A:A,Customers!B:B)</f>
        <v>Mona Salah</v>
      </c>
      <c r="I290" s="3" t="str">
        <f>_xlfn.XLOOKUP(D290,Products!A:A,Products!B:B)</f>
        <v>Palit GeForce RTX 5060 Infinity</v>
      </c>
    </row>
    <row r="291" spans="1:9" x14ac:dyDescent="0.25">
      <c r="A291" s="3">
        <v>1290</v>
      </c>
      <c r="B291" s="2">
        <v>46012</v>
      </c>
      <c r="C291" s="3">
        <v>116</v>
      </c>
      <c r="D291" s="3">
        <v>128</v>
      </c>
      <c r="E291" s="3">
        <v>1.51515151515152</v>
      </c>
      <c r="F291" s="6">
        <f>_xlfn.XLOOKUP(D291, Products!A:A,Products!E:E, )</f>
        <v>300</v>
      </c>
      <c r="G291" s="5">
        <f t="shared" si="5"/>
        <v>454.54545454545598</v>
      </c>
      <c r="H291" s="3" t="str">
        <f>_xlfn.XLOOKUP(C291,Customers!A:A,Customers!B:B)</f>
        <v>Omer Abdulaziz</v>
      </c>
      <c r="I291" s="3" t="str">
        <f>_xlfn.XLOOKUP(D291,Products!A:A,Products!B:B)</f>
        <v>Crucial P3 Plus 500GB</v>
      </c>
    </row>
    <row r="292" spans="1:9" x14ac:dyDescent="0.25">
      <c r="A292" s="3">
        <v>1291</v>
      </c>
      <c r="B292" s="2">
        <v>46012</v>
      </c>
      <c r="C292" s="3">
        <v>117</v>
      </c>
      <c r="D292" s="3">
        <v>146</v>
      </c>
      <c r="E292" s="3">
        <v>1.5212121212121199</v>
      </c>
      <c r="F292" s="6">
        <f>_xlfn.XLOOKUP(D292, Products!A:A,Products!E:E, )</f>
        <v>1800</v>
      </c>
      <c r="G292" s="5">
        <f t="shared" si="5"/>
        <v>2738.1818181818157</v>
      </c>
      <c r="H292" s="3" t="str">
        <f>_xlfn.XLOOKUP(C292,Customers!A:A,Customers!B:B)</f>
        <v>Mona Sari</v>
      </c>
      <c r="I292" s="3" t="str">
        <f>_xlfn.XLOOKUP(D292,Products!A:A,Products!B:B)</f>
        <v>LG UltraGear 27GP850-B 165Hz</v>
      </c>
    </row>
    <row r="293" spans="1:9" x14ac:dyDescent="0.25">
      <c r="A293" s="3">
        <v>1292</v>
      </c>
      <c r="B293" s="2">
        <v>46012</v>
      </c>
      <c r="C293" s="3">
        <v>20</v>
      </c>
      <c r="D293" s="3">
        <v>123</v>
      </c>
      <c r="E293" s="3">
        <v>1.52727272727273</v>
      </c>
      <c r="F293" s="6">
        <f>_xlfn.XLOOKUP(D293, Products!A:A,Products!E:E, )</f>
        <v>1800</v>
      </c>
      <c r="G293" s="5">
        <f t="shared" si="5"/>
        <v>2749.090909090914</v>
      </c>
      <c r="H293" s="3" t="str">
        <f>_xlfn.XLOOKUP(C293,Customers!A:A,Customers!B:B)</f>
        <v xml:space="preserve"> Noura Majed</v>
      </c>
      <c r="I293" s="3" t="str">
        <f>_xlfn.XLOOKUP(D293,Products!A:A,Products!B:B)</f>
        <v>AMD Ryzen 9 7900x CPU</v>
      </c>
    </row>
    <row r="294" spans="1:9" x14ac:dyDescent="0.25">
      <c r="A294" s="3">
        <v>1293</v>
      </c>
      <c r="B294" s="2">
        <v>46012</v>
      </c>
      <c r="C294" s="3">
        <v>28</v>
      </c>
      <c r="D294" s="3">
        <v>117</v>
      </c>
      <c r="E294" s="3">
        <v>1.5333333333333301</v>
      </c>
      <c r="F294" s="6">
        <f>_xlfn.XLOOKUP(D294, Products!A:A,Products!E:E, )</f>
        <v>900</v>
      </c>
      <c r="G294" s="5">
        <f t="shared" si="5"/>
        <v>1379.999999999997</v>
      </c>
      <c r="H294" s="3" t="str">
        <f>_xlfn.XLOOKUP(C294,Customers!A:A,Customers!B:B)</f>
        <v xml:space="preserve"> Laila Qasim</v>
      </c>
      <c r="I294" s="3" t="str">
        <f>_xlfn.XLOOKUP(D294,Products!A:A,Products!B:B)</f>
        <v>MSI GeForce RTX 3050</v>
      </c>
    </row>
    <row r="295" spans="1:9" x14ac:dyDescent="0.25">
      <c r="A295" s="3">
        <v>1294</v>
      </c>
      <c r="B295" s="2">
        <v>46012</v>
      </c>
      <c r="C295" s="3">
        <v>118</v>
      </c>
      <c r="D295" s="3">
        <v>113</v>
      </c>
      <c r="E295" s="3">
        <v>1.53939393939394</v>
      </c>
      <c r="F295" s="6">
        <f>_xlfn.XLOOKUP(D295, Products!A:A,Products!E:E, )</f>
        <v>800</v>
      </c>
      <c r="G295" s="5">
        <f t="shared" si="5"/>
        <v>1231.515151515152</v>
      </c>
      <c r="H295" s="3" t="str">
        <f>_xlfn.XLOOKUP(C295,Customers!A:A,Customers!B:B)</f>
        <v>Othman Khalid</v>
      </c>
      <c r="I295" s="3" t="str">
        <f>_xlfn.XLOOKUP(D295,Products!A:A,Products!B:B)</f>
        <v>Samsung 990 EVO PLUS PCIe 4.0 NVMe M.2 - 1TB</v>
      </c>
    </row>
    <row r="296" spans="1:9" x14ac:dyDescent="0.25">
      <c r="A296" s="3">
        <v>1295</v>
      </c>
      <c r="B296" s="2">
        <v>46012</v>
      </c>
      <c r="C296" s="3">
        <v>119</v>
      </c>
      <c r="D296" s="3">
        <v>113</v>
      </c>
      <c r="E296" s="3">
        <v>1.5454545454545501</v>
      </c>
      <c r="F296" s="6">
        <f>_xlfn.XLOOKUP(D296, Products!A:A,Products!E:E, )</f>
        <v>800</v>
      </c>
      <c r="G296" s="5">
        <f t="shared" si="5"/>
        <v>1236.3636363636401</v>
      </c>
      <c r="H296" s="3" t="str">
        <f>_xlfn.XLOOKUP(C296,Customers!A:A,Customers!B:B)</f>
        <v>Ahmed Ismail</v>
      </c>
      <c r="I296" s="3" t="str">
        <f>_xlfn.XLOOKUP(D296,Products!A:A,Products!B:B)</f>
        <v>Samsung 990 EVO PLUS PCIe 4.0 NVMe M.2 - 1TB</v>
      </c>
    </row>
    <row r="297" spans="1:9" x14ac:dyDescent="0.25">
      <c r="A297" s="3">
        <v>1296</v>
      </c>
      <c r="B297" s="2">
        <v>46012</v>
      </c>
      <c r="C297" s="3">
        <v>18</v>
      </c>
      <c r="D297" s="3">
        <v>112</v>
      </c>
      <c r="E297" s="3">
        <v>1.55151515151515</v>
      </c>
      <c r="F297" s="6">
        <f>_xlfn.XLOOKUP(D297, Products!A:A,Products!E:E, )</f>
        <v>650</v>
      </c>
      <c r="G297" s="5">
        <f t="shared" si="5"/>
        <v>1008.4848484848475</v>
      </c>
      <c r="H297" s="3" t="str">
        <f>_xlfn.XLOOKUP(C297,Customers!A:A,Customers!B:B)</f>
        <v xml:space="preserve"> Dana Faisal</v>
      </c>
      <c r="I297" s="3" t="str">
        <f>_xlfn.XLOOKUP(D297,Products!A:A,Products!B:B)</f>
        <v>Crucial E100 Gen4 NVMe M.2 - Black - 1TB</v>
      </c>
    </row>
    <row r="298" spans="1:9" ht="16.5" customHeight="1" x14ac:dyDescent="0.25">
      <c r="A298" s="3">
        <v>1297</v>
      </c>
      <c r="B298" s="2">
        <v>46012</v>
      </c>
      <c r="C298" s="3">
        <v>75</v>
      </c>
      <c r="D298" s="3">
        <v>113</v>
      </c>
      <c r="E298" s="3">
        <v>1.5575757575757601</v>
      </c>
      <c r="F298" s="6">
        <f>_xlfn.XLOOKUP(D298, Products!A:A,Products!E:E, )</f>
        <v>800</v>
      </c>
      <c r="G298" s="5">
        <f t="shared" si="5"/>
        <v>1246.0606060606081</v>
      </c>
      <c r="H298" s="3" t="str">
        <f>_xlfn.XLOOKUP(C298,Customers!A:A,Customers!B:B)</f>
        <v xml:space="preserve"> Riyadh Mansour</v>
      </c>
      <c r="I298" s="3" t="str">
        <f>_xlfn.XLOOKUP(D298,Products!A:A,Products!B:B)</f>
        <v>Samsung 990 EVO PLUS PCIe 4.0 NVMe M.2 - 1TB</v>
      </c>
    </row>
    <row r="299" spans="1:9" x14ac:dyDescent="0.25">
      <c r="A299" s="3">
        <v>1298</v>
      </c>
      <c r="B299" s="2">
        <v>46012</v>
      </c>
      <c r="C299" s="3">
        <v>120</v>
      </c>
      <c r="D299" s="3">
        <v>101</v>
      </c>
      <c r="E299" s="3">
        <v>1</v>
      </c>
      <c r="F299" s="6">
        <f>_xlfn.XLOOKUP(D299, Products!A:A,Products!E:E, )</f>
        <v>1400</v>
      </c>
      <c r="G299" s="5">
        <f t="shared" ref="G299:G312" si="6">E299 *F299</f>
        <v>1400</v>
      </c>
      <c r="H299" s="3" t="str">
        <f>_xlfn.XLOOKUP(C299,Customers!A:A,Customers!B:B)</f>
        <v>Yara Mohammed</v>
      </c>
      <c r="I299" s="3" t="str">
        <f>_xlfn.XLOOKUP(D299,Products!A:A,Products!B:B)</f>
        <v>HyperX Cloud II</v>
      </c>
    </row>
    <row r="300" spans="1:9" x14ac:dyDescent="0.25">
      <c r="A300" s="3">
        <v>1299</v>
      </c>
      <c r="B300" s="2">
        <v>46012</v>
      </c>
      <c r="C300" s="3">
        <v>110</v>
      </c>
      <c r="D300" s="3">
        <v>111</v>
      </c>
      <c r="E300" s="3">
        <v>3</v>
      </c>
      <c r="F300" s="6">
        <f>_xlfn.XLOOKUP(D300, Products!A:A,Products!E:E, )</f>
        <v>400</v>
      </c>
      <c r="G300" s="5">
        <f t="shared" si="6"/>
        <v>1200</v>
      </c>
      <c r="H300" s="3" t="str">
        <f>_xlfn.XLOOKUP(C300,Customers!A:A,Customers!B:B)</f>
        <v>Mona Mnasor</v>
      </c>
      <c r="I300" s="3" t="str">
        <f>_xlfn.XLOOKUP(D300,Products!A:A,Products!B:B)</f>
        <v>XPG GAMMIX S60 Gen 4 NVME M.2 - Black - 512gb</v>
      </c>
    </row>
    <row r="301" spans="1:9" x14ac:dyDescent="0.25">
      <c r="A301" s="3">
        <v>1300</v>
      </c>
      <c r="B301" s="2">
        <v>46012</v>
      </c>
      <c r="C301" s="3">
        <v>121</v>
      </c>
      <c r="D301" s="3">
        <v>121</v>
      </c>
      <c r="E301" s="3">
        <v>4</v>
      </c>
      <c r="F301" s="6">
        <f>_xlfn.XLOOKUP(D301, Products!A:A,Products!E:E, )</f>
        <v>1500</v>
      </c>
      <c r="G301" s="5">
        <f t="shared" si="6"/>
        <v>6000</v>
      </c>
      <c r="H301" s="3" t="str">
        <f>_xlfn.XLOOKUP(C301,Customers!A:A,Customers!B:B)</f>
        <v>Norah Abdullah</v>
      </c>
      <c r="I301" s="3" t="str">
        <f>_xlfn.XLOOKUP(D301,Products!A:A,Products!B:B)</f>
        <v>Intel Core Ultra 7 265KF Tray CPU</v>
      </c>
    </row>
    <row r="302" spans="1:9" x14ac:dyDescent="0.25">
      <c r="A302" s="3">
        <v>1301</v>
      </c>
      <c r="B302" s="2">
        <v>46013</v>
      </c>
      <c r="C302" s="3">
        <v>122</v>
      </c>
      <c r="D302" s="3">
        <v>110</v>
      </c>
      <c r="E302" s="3">
        <v>6</v>
      </c>
      <c r="F302" s="6">
        <f>_xlfn.XLOOKUP(D302, Products!A:A,Products!E:E, )</f>
        <v>1200</v>
      </c>
      <c r="G302" s="5">
        <f t="shared" si="6"/>
        <v>7200</v>
      </c>
      <c r="H302" s="3" t="str">
        <f>_xlfn.XLOOKUP(C302,Customers!A:A,Customers!B:B)</f>
        <v>Ndeem Ali</v>
      </c>
      <c r="I302" s="3" t="str">
        <f>_xlfn.XLOOKUP(D302,Products!A:A,Products!B:B)</f>
        <v>XPG Gammix S70 Blade Gen 4 M.2 - 2TB</v>
      </c>
    </row>
    <row r="303" spans="1:9" x14ac:dyDescent="0.25">
      <c r="A303" s="3">
        <v>1302</v>
      </c>
      <c r="B303" s="2">
        <v>46013</v>
      </c>
      <c r="C303" s="3">
        <v>123</v>
      </c>
      <c r="D303" s="3">
        <v>140</v>
      </c>
      <c r="E303" s="3">
        <v>2</v>
      </c>
      <c r="F303" s="6">
        <f>_xlfn.XLOOKUP(D303, Products!A:A,Products!E:E, )</f>
        <v>500</v>
      </c>
      <c r="G303" s="5">
        <f t="shared" si="6"/>
        <v>1000</v>
      </c>
      <c r="H303" s="3" t="str">
        <f>_xlfn.XLOOKUP(C303,Customers!A:A,Customers!B:B)</f>
        <v>Sara Abdullah</v>
      </c>
      <c r="I303" s="3" t="str">
        <f>_xlfn.XLOOKUP(D303,Products!A:A,Products!B:B)</f>
        <v>WD Black SN850X 1TB</v>
      </c>
    </row>
    <row r="304" spans="1:9" x14ac:dyDescent="0.25">
      <c r="A304" s="3">
        <v>1303</v>
      </c>
      <c r="B304" s="2">
        <v>46013</v>
      </c>
      <c r="C304" s="3">
        <v>124</v>
      </c>
      <c r="D304" s="3">
        <v>135</v>
      </c>
      <c r="E304" s="3">
        <v>1</v>
      </c>
      <c r="F304" s="6">
        <f>_xlfn.XLOOKUP(D304, Products!A:A,Products!E:E, )</f>
        <v>1800</v>
      </c>
      <c r="G304" s="5">
        <f t="shared" si="6"/>
        <v>1800</v>
      </c>
      <c r="H304" s="3" t="str">
        <f>_xlfn.XLOOKUP(C304,Customers!A:A,Customers!B:B)</f>
        <v>Omer Ahmed</v>
      </c>
      <c r="I304" s="3" t="str">
        <f>_xlfn.XLOOKUP(D304,Products!A:A,Products!B:B)</f>
        <v>PlayStation-5 Digital Edition</v>
      </c>
    </row>
    <row r="305" spans="1:9" x14ac:dyDescent="0.25">
      <c r="A305" s="3">
        <v>1304</v>
      </c>
      <c r="B305" s="2">
        <v>46013</v>
      </c>
      <c r="C305" s="3">
        <v>100</v>
      </c>
      <c r="D305" s="3">
        <v>138</v>
      </c>
      <c r="E305" s="3">
        <v>1</v>
      </c>
      <c r="F305" s="6">
        <f>_xlfn.XLOOKUP(D305, Products!A:A,Products!E:E, )</f>
        <v>1700</v>
      </c>
      <c r="G305" s="5">
        <f t="shared" si="6"/>
        <v>1700</v>
      </c>
      <c r="H305" s="3" t="str">
        <f>_xlfn.XLOOKUP(C305,Customers!A:A,Customers!B:B)</f>
        <v xml:space="preserve"> Ikram Yusuf</v>
      </c>
      <c r="I305" s="3" t="str">
        <f>_xlfn.XLOOKUP(D305,Products!A:A,Products!B:B)</f>
        <v>Corsair Vengeance LPX 32GB DDR4</v>
      </c>
    </row>
    <row r="306" spans="1:9" x14ac:dyDescent="0.25">
      <c r="A306" s="3">
        <v>1305</v>
      </c>
      <c r="B306" s="2">
        <v>46013</v>
      </c>
      <c r="C306" s="3">
        <v>115</v>
      </c>
      <c r="D306" s="3">
        <v>133</v>
      </c>
      <c r="E306" s="3">
        <v>2</v>
      </c>
      <c r="F306" s="6">
        <f>_xlfn.XLOOKUP(D306, Products!A:A,Products!E:E, )</f>
        <v>2200</v>
      </c>
      <c r="G306" s="5">
        <f t="shared" si="6"/>
        <v>4400</v>
      </c>
      <c r="H306" s="3" t="str">
        <f>_xlfn.XLOOKUP(C306,Customers!A:A,Customers!B:B)</f>
        <v>Nada Ali</v>
      </c>
      <c r="I306" s="3" t="str">
        <f>_xlfn.XLOOKUP(D306,Products!A:A,Products!B:B)</f>
        <v>AMD Ryzen 9 7950X3D</v>
      </c>
    </row>
    <row r="307" spans="1:9" x14ac:dyDescent="0.25">
      <c r="A307" s="3">
        <v>1306</v>
      </c>
      <c r="B307" s="2">
        <v>46014</v>
      </c>
      <c r="C307" s="3">
        <v>125</v>
      </c>
      <c r="D307" s="3">
        <v>145</v>
      </c>
      <c r="E307" s="3">
        <v>1</v>
      </c>
      <c r="F307" s="6">
        <f>_xlfn.XLOOKUP(D307, Products!A:A,Products!E:E, )</f>
        <v>1700</v>
      </c>
      <c r="G307" s="5">
        <f t="shared" si="6"/>
        <v>1700</v>
      </c>
      <c r="H307" s="3" t="str">
        <f>_xlfn.XLOOKUP(C307,Customers!A:A,Customers!B:B)</f>
        <v>Waled Ibrahem</v>
      </c>
      <c r="I307" s="3" t="str">
        <f>_xlfn.XLOOKUP(D307,Products!A:A,Products!B:B)</f>
        <v>Samsung Odyssey G5 27" QHD 144Hz</v>
      </c>
    </row>
    <row r="308" spans="1:9" x14ac:dyDescent="0.25">
      <c r="A308" s="3">
        <v>1307</v>
      </c>
      <c r="B308" s="2">
        <v>46014</v>
      </c>
      <c r="C308" s="3">
        <v>126</v>
      </c>
      <c r="D308" s="3">
        <v>126</v>
      </c>
      <c r="E308" s="3">
        <v>5</v>
      </c>
      <c r="F308" s="6">
        <f>_xlfn.XLOOKUP(D308, Products!A:A,Products!E:E, )</f>
        <v>280</v>
      </c>
      <c r="G308" s="5">
        <f t="shared" si="6"/>
        <v>1400</v>
      </c>
      <c r="H308" s="3" t="str">
        <f>_xlfn.XLOOKUP(C308,Customers!A:A,Customers!B:B)</f>
        <v>Khalid Naseer</v>
      </c>
      <c r="I308" s="3" t="str">
        <f>_xlfn.XLOOKUP(D308,Products!A:A,Products!B:B)</f>
        <v>Red-dragon K552 Mechanical Keyboard</v>
      </c>
    </row>
    <row r="309" spans="1:9" x14ac:dyDescent="0.25">
      <c r="A309" s="3">
        <v>1308</v>
      </c>
      <c r="B309" s="2">
        <v>46014</v>
      </c>
      <c r="C309" s="3">
        <v>127</v>
      </c>
      <c r="D309" s="3">
        <v>118</v>
      </c>
      <c r="E309" s="3">
        <v>1</v>
      </c>
      <c r="F309" s="6">
        <f>_xlfn.XLOOKUP(D309, Products!A:A,Products!E:E, )</f>
        <v>1000</v>
      </c>
      <c r="G309" s="5">
        <f t="shared" si="6"/>
        <v>1000</v>
      </c>
      <c r="H309" s="3" t="str">
        <f>_xlfn.XLOOKUP(C309,Customers!A:A,Customers!B:B)</f>
        <v>Mnerh Ahmed</v>
      </c>
      <c r="I309" s="3" t="str">
        <f>_xlfn.XLOOKUP(D309,Products!A:A,Products!B:B)</f>
        <v>Intel Core Ultra 5 245K CPU</v>
      </c>
    </row>
    <row r="310" spans="1:9" x14ac:dyDescent="0.25">
      <c r="A310" s="3">
        <v>1309</v>
      </c>
      <c r="B310" s="2">
        <v>46014</v>
      </c>
      <c r="C310" s="3">
        <v>128</v>
      </c>
      <c r="D310" s="3">
        <v>126</v>
      </c>
      <c r="E310" s="3">
        <v>3</v>
      </c>
      <c r="F310" s="6">
        <f>_xlfn.XLOOKUP(D310, Products!A:A,Products!E:E, )</f>
        <v>280</v>
      </c>
      <c r="G310" s="5">
        <f t="shared" si="6"/>
        <v>840</v>
      </c>
      <c r="H310" s="3" t="str">
        <f>_xlfn.XLOOKUP(C310,Customers!A:A,Customers!B:B)</f>
        <v>Dalal Turky</v>
      </c>
      <c r="I310" s="3" t="str">
        <f>_xlfn.XLOOKUP(D310,Products!A:A,Products!B:B)</f>
        <v>Red-dragon K552 Mechanical Keyboard</v>
      </c>
    </row>
    <row r="311" spans="1:9" x14ac:dyDescent="0.25">
      <c r="A311" s="3">
        <v>1310</v>
      </c>
      <c r="B311" s="2">
        <v>46014</v>
      </c>
      <c r="C311" s="3">
        <v>128</v>
      </c>
      <c r="D311" s="3">
        <v>127</v>
      </c>
      <c r="E311" s="3">
        <v>2</v>
      </c>
      <c r="F311" s="6">
        <f>_xlfn.XLOOKUP(D311, Products!A:A,Products!E:E, )</f>
        <v>700</v>
      </c>
      <c r="G311" s="5">
        <f t="shared" si="6"/>
        <v>1400</v>
      </c>
      <c r="H311" s="3" t="str">
        <f>_xlfn.XLOOKUP(C311,Customers!A:A,Customers!B:B)</f>
        <v>Dalal Turky</v>
      </c>
      <c r="I311" s="3" t="str">
        <f>_xlfn.XLOOKUP(D311,Products!A:A,Products!B:B)</f>
        <v>Samsung 990 EVO PLUS 1TB NVMe</v>
      </c>
    </row>
    <row r="312" spans="1:9" x14ac:dyDescent="0.25">
      <c r="A312" s="3">
        <v>1311</v>
      </c>
      <c r="B312" s="2">
        <v>46015</v>
      </c>
      <c r="C312" s="3">
        <v>129</v>
      </c>
      <c r="D312" s="3">
        <v>128</v>
      </c>
      <c r="E312" s="3">
        <v>2</v>
      </c>
      <c r="F312" s="6">
        <f>_xlfn.XLOOKUP(D312, Products!A:A,Products!E:E, )</f>
        <v>300</v>
      </c>
      <c r="G312" s="5">
        <f t="shared" si="6"/>
        <v>600</v>
      </c>
      <c r="H312" s="3" t="str">
        <f>_xlfn.XLOOKUP(C312,Customers!A:A,Customers!B:B)</f>
        <v>Mohammed abdullaziz</v>
      </c>
      <c r="I312" s="3" t="str">
        <f>_xlfn.XLOOKUP(D312,Products!A:A,Products!B:B)</f>
        <v>Crucial P3 Plus 500GB</v>
      </c>
    </row>
    <row r="313" spans="1:9" x14ac:dyDescent="0.25">
      <c r="A313" s="3">
        <v>1312</v>
      </c>
      <c r="B313" s="2">
        <v>46015</v>
      </c>
      <c r="C313" s="3">
        <v>130</v>
      </c>
      <c r="D313" s="3">
        <v>101</v>
      </c>
      <c r="E313" s="3">
        <v>1</v>
      </c>
      <c r="F313" s="6">
        <f>_xlfn.XLOOKUP(D313, Products!A:A,Products!E:E, )</f>
        <v>1400</v>
      </c>
      <c r="G313" s="5">
        <f t="shared" ref="G313:G333" si="7">E313 *F313</f>
        <v>1400</v>
      </c>
      <c r="H313" s="3" t="str">
        <f>_xlfn.XLOOKUP(C313,Customers!A:A,Customers!B:B)</f>
        <v>Yousef Ali</v>
      </c>
      <c r="I313" s="3" t="str">
        <f>_xlfn.XLOOKUP(D313,Products!A:A,Products!B:B)</f>
        <v>HyperX Cloud II</v>
      </c>
    </row>
    <row r="314" spans="1:9" x14ac:dyDescent="0.25">
      <c r="A314" s="3">
        <v>1313</v>
      </c>
      <c r="B314" s="2">
        <v>46015</v>
      </c>
      <c r="C314" s="3">
        <v>129</v>
      </c>
      <c r="D314" s="3">
        <v>102</v>
      </c>
      <c r="E314" s="3">
        <v>1</v>
      </c>
      <c r="F314" s="6">
        <f>_xlfn.XLOOKUP(D314, Products!A:A,Products!E:E, )</f>
        <v>1800</v>
      </c>
      <c r="G314" s="5">
        <f t="shared" si="7"/>
        <v>1800</v>
      </c>
      <c r="H314" s="3" t="str">
        <f>_xlfn.XLOOKUP(C314,Customers!A:A,Customers!B:B)</f>
        <v>Mohammed abdullaziz</v>
      </c>
      <c r="I314" s="3" t="str">
        <f>_xlfn.XLOOKUP(D314,Products!A:A,Products!B:B)</f>
        <v>Corsair HS50 Pro</v>
      </c>
    </row>
    <row r="315" spans="1:9" x14ac:dyDescent="0.25">
      <c r="A315" s="3">
        <v>1314</v>
      </c>
      <c r="B315" s="2">
        <v>46015</v>
      </c>
      <c r="C315" s="3">
        <v>100</v>
      </c>
      <c r="D315" s="3">
        <v>104</v>
      </c>
      <c r="E315" s="3">
        <v>4</v>
      </c>
      <c r="F315" s="6">
        <f>_xlfn.XLOOKUP(D315, Products!A:A,Products!E:E, )</f>
        <v>500</v>
      </c>
      <c r="G315" s="5">
        <f t="shared" si="7"/>
        <v>2000</v>
      </c>
      <c r="H315" s="3" t="str">
        <f>_xlfn.XLOOKUP(C315,Customers!A:A,Customers!B:B)</f>
        <v xml:space="preserve"> Ikram Yusuf</v>
      </c>
      <c r="I315" s="3" t="str">
        <f>_xlfn.XLOOKUP(D315,Products!A:A,Products!B:B)</f>
        <v>Kayboard_Razer_Tartrus</v>
      </c>
    </row>
    <row r="316" spans="1:9" x14ac:dyDescent="0.25">
      <c r="A316" s="3">
        <v>1315</v>
      </c>
      <c r="B316" s="2">
        <v>46015</v>
      </c>
      <c r="C316" s="3">
        <v>115</v>
      </c>
      <c r="D316" s="3">
        <v>108</v>
      </c>
      <c r="E316" s="3">
        <v>3</v>
      </c>
      <c r="F316" s="6">
        <f>_xlfn.XLOOKUP(D316, Products!A:A,Products!E:E, )</f>
        <v>400</v>
      </c>
      <c r="G316" s="5">
        <f t="shared" si="7"/>
        <v>1200</v>
      </c>
      <c r="H316" s="3" t="str">
        <f>_xlfn.XLOOKUP(C316,Customers!A:A,Customers!B:B)</f>
        <v>Nada Ali</v>
      </c>
      <c r="I316" s="3" t="str">
        <f>_xlfn.XLOOKUP(D316,Products!A:A,Products!B:B)</f>
        <v>Logitech MX Pro  Mouse</v>
      </c>
    </row>
    <row r="317" spans="1:9" x14ac:dyDescent="0.25">
      <c r="A317" s="3">
        <v>1316</v>
      </c>
      <c r="B317" s="2">
        <v>46016</v>
      </c>
      <c r="C317" s="3">
        <v>125</v>
      </c>
      <c r="D317" s="3">
        <v>111</v>
      </c>
      <c r="E317" s="3">
        <v>5</v>
      </c>
      <c r="F317" s="6">
        <f>_xlfn.XLOOKUP(D317, Products!A:A,Products!E:E, )</f>
        <v>400</v>
      </c>
      <c r="G317" s="5">
        <f t="shared" si="7"/>
        <v>2000</v>
      </c>
      <c r="H317" s="3" t="str">
        <f>_xlfn.XLOOKUP(C317,Customers!A:A,Customers!B:B)</f>
        <v>Waled Ibrahem</v>
      </c>
      <c r="I317" s="3" t="str">
        <f>_xlfn.XLOOKUP(D317,Products!A:A,Products!B:B)</f>
        <v>XPG GAMMIX S60 Gen 4 NVME M.2 - Black - 512gb</v>
      </c>
    </row>
    <row r="318" spans="1:9" x14ac:dyDescent="0.25">
      <c r="A318" s="3">
        <v>1317</v>
      </c>
      <c r="B318" s="2">
        <v>46016</v>
      </c>
      <c r="C318" s="3">
        <v>131</v>
      </c>
      <c r="D318" s="3">
        <v>134</v>
      </c>
      <c r="E318" s="3">
        <v>1</v>
      </c>
      <c r="F318" s="6">
        <f>_xlfn.XLOOKUP(D318, Products!A:A,Products!E:E, )</f>
        <v>1500</v>
      </c>
      <c r="G318" s="5">
        <f t="shared" si="7"/>
        <v>1500</v>
      </c>
      <c r="H318" s="3" t="str">
        <f>_xlfn.XLOOKUP(C318,Customers!A:A,Customers!B:B)</f>
        <v>Mohammed abdullaziz</v>
      </c>
      <c r="I318" s="3" t="str">
        <f>_xlfn.XLOOKUP(D318,Products!A:A,Products!B:B)</f>
        <v>Xbox_Series_X</v>
      </c>
    </row>
    <row r="319" spans="1:9" x14ac:dyDescent="0.25">
      <c r="A319" s="3">
        <v>1318</v>
      </c>
      <c r="B319" s="2">
        <v>46016</v>
      </c>
      <c r="C319" s="3">
        <v>130</v>
      </c>
      <c r="D319" s="3">
        <v>132</v>
      </c>
      <c r="E319" s="3">
        <v>1</v>
      </c>
      <c r="F319" s="6">
        <f>_xlfn.XLOOKUP(D319, Products!A:A,Products!E:E, )</f>
        <v>1400</v>
      </c>
      <c r="G319" s="5">
        <f t="shared" si="7"/>
        <v>1400</v>
      </c>
      <c r="H319" s="3" t="str">
        <f>_xlfn.XLOOKUP(C319,Customers!A:A,Customers!B:B)</f>
        <v>Yousef Ali</v>
      </c>
      <c r="I319" s="3" t="str">
        <f>_xlfn.XLOOKUP(D319,Products!A:A,Products!B:B)</f>
        <v>Intel Core i7 14700K Processor</v>
      </c>
    </row>
    <row r="320" spans="1:9" x14ac:dyDescent="0.25">
      <c r="A320" s="3">
        <v>1319</v>
      </c>
      <c r="B320" s="2">
        <v>46016</v>
      </c>
      <c r="C320" s="3">
        <v>50</v>
      </c>
      <c r="D320" s="3">
        <v>126</v>
      </c>
      <c r="E320" s="3">
        <v>1</v>
      </c>
      <c r="F320" s="6">
        <f>_xlfn.XLOOKUP(D320, Products!A:A,Products!E:E, )</f>
        <v>280</v>
      </c>
      <c r="G320" s="5">
        <f t="shared" si="7"/>
        <v>280</v>
      </c>
      <c r="H320" s="3" t="str">
        <f>_xlfn.XLOOKUP(C320,Customers!A:A,Customers!B:B)</f>
        <v xml:space="preserve"> Hanan Adel</v>
      </c>
      <c r="I320" s="3" t="str">
        <f>_xlfn.XLOOKUP(D320,Products!A:A,Products!B:B)</f>
        <v>Red-dragon K552 Mechanical Keyboard</v>
      </c>
    </row>
    <row r="321" spans="1:9" x14ac:dyDescent="0.25">
      <c r="A321" s="3">
        <v>1320</v>
      </c>
      <c r="B321" s="2">
        <v>46016</v>
      </c>
      <c r="C321" s="3">
        <v>34</v>
      </c>
      <c r="D321" s="3">
        <v>117</v>
      </c>
      <c r="E321" s="3">
        <v>1</v>
      </c>
      <c r="F321" s="6">
        <f>_xlfn.XLOOKUP(D321, Products!A:A,Products!E:E, )</f>
        <v>900</v>
      </c>
      <c r="G321" s="5">
        <f t="shared" si="7"/>
        <v>900</v>
      </c>
      <c r="H321" s="3" t="str">
        <f>_xlfn.XLOOKUP(C321,Customers!A:A,Customers!B:B)</f>
        <v xml:space="preserve"> Fatimah Kareem</v>
      </c>
      <c r="I321" s="3" t="str">
        <f>_xlfn.XLOOKUP(D321,Products!A:A,Products!B:B)</f>
        <v>MSI GeForce RTX 3050</v>
      </c>
    </row>
    <row r="322" spans="1:9" x14ac:dyDescent="0.25">
      <c r="A322" s="3">
        <v>1321</v>
      </c>
      <c r="B322" s="2">
        <v>46017</v>
      </c>
      <c r="C322" s="3">
        <v>78</v>
      </c>
      <c r="D322" s="3">
        <v>111</v>
      </c>
      <c r="E322" s="3">
        <v>1</v>
      </c>
      <c r="F322" s="6">
        <f>_xlfn.XLOOKUP(D322, Products!A:A,Products!E:E, )</f>
        <v>400</v>
      </c>
      <c r="G322" s="5">
        <f t="shared" si="7"/>
        <v>400</v>
      </c>
      <c r="H322" s="3" t="str">
        <f>_xlfn.XLOOKUP(C322,Customers!A:A,Customers!B:B)</f>
        <v xml:space="preserve"> Amani Lutfi</v>
      </c>
      <c r="I322" s="3" t="str">
        <f>_xlfn.XLOOKUP(D322,Products!A:A,Products!B:B)</f>
        <v>XPG GAMMIX S60 Gen 4 NVME M.2 - Black - 512gb</v>
      </c>
    </row>
    <row r="323" spans="1:9" x14ac:dyDescent="0.25">
      <c r="A323" s="3">
        <v>1322</v>
      </c>
      <c r="B323" s="2">
        <v>46017</v>
      </c>
      <c r="C323" s="3">
        <v>132</v>
      </c>
      <c r="D323" s="3">
        <v>103</v>
      </c>
      <c r="E323" s="3">
        <v>1</v>
      </c>
      <c r="F323" s="6">
        <f>_xlfn.XLOOKUP(D323, Products!A:A,Products!E:E, )</f>
        <v>280</v>
      </c>
      <c r="G323" s="5">
        <f t="shared" si="7"/>
        <v>280</v>
      </c>
      <c r="H323" s="3" t="str">
        <f>_xlfn.XLOOKUP(C323,Customers!A:A,Customers!B:B)</f>
        <v>Sara Abdullah</v>
      </c>
      <c r="I323" s="3" t="str">
        <f>_xlfn.XLOOKUP(D323,Products!A:A,Products!B:B)</f>
        <v>Kayborad_Red_dragon</v>
      </c>
    </row>
    <row r="324" spans="1:9" x14ac:dyDescent="0.25">
      <c r="A324" s="3">
        <v>1323</v>
      </c>
      <c r="B324" s="2">
        <v>46017</v>
      </c>
      <c r="C324" s="3">
        <v>133</v>
      </c>
      <c r="D324" s="3">
        <v>105</v>
      </c>
      <c r="E324" s="3">
        <v>1</v>
      </c>
      <c r="F324" s="6">
        <f>_xlfn.XLOOKUP(D324, Products!A:A,Products!E:E, )</f>
        <v>700</v>
      </c>
      <c r="G324" s="5">
        <f t="shared" si="7"/>
        <v>700</v>
      </c>
      <c r="H324" s="3" t="str">
        <f>_xlfn.XLOOKUP(C324,Customers!A:A,Customers!B:B)</f>
        <v>Omer Salman</v>
      </c>
      <c r="I324" s="3" t="str">
        <f>_xlfn.XLOOKUP(D324,Products!A:A,Products!B:B)</f>
        <v>HyperX Cloud Alpha</v>
      </c>
    </row>
    <row r="325" spans="1:9" x14ac:dyDescent="0.25">
      <c r="A325" s="3">
        <v>1324</v>
      </c>
      <c r="B325" s="2">
        <v>46018</v>
      </c>
      <c r="C325" s="3">
        <v>134</v>
      </c>
      <c r="D325" s="3">
        <v>108</v>
      </c>
      <c r="E325" s="3">
        <v>1</v>
      </c>
      <c r="F325" s="6">
        <f>_xlfn.XLOOKUP(D325, Products!A:A,Products!E:E, )</f>
        <v>400</v>
      </c>
      <c r="G325" s="5">
        <f t="shared" si="7"/>
        <v>400</v>
      </c>
      <c r="H325" s="3" t="str">
        <f>_xlfn.XLOOKUP(C325,Customers!A:A,Customers!B:B)</f>
        <v>Sleam Eid</v>
      </c>
      <c r="I325" s="3" t="str">
        <f>_xlfn.XLOOKUP(D325,Products!A:A,Products!B:B)</f>
        <v>Logitech MX Pro  Mouse</v>
      </c>
    </row>
    <row r="326" spans="1:9" x14ac:dyDescent="0.25">
      <c r="A326" s="3">
        <v>1325</v>
      </c>
      <c r="B326" s="2">
        <v>46018</v>
      </c>
      <c r="C326" s="3">
        <v>60</v>
      </c>
      <c r="D326" s="3">
        <v>111</v>
      </c>
      <c r="E326" s="3">
        <v>2</v>
      </c>
      <c r="F326" s="6">
        <f>_xlfn.XLOOKUP(D326, Products!A:A,Products!E:E, )</f>
        <v>400</v>
      </c>
      <c r="G326" s="5">
        <f t="shared" si="7"/>
        <v>800</v>
      </c>
      <c r="H326" s="3" t="str">
        <f>_xlfn.XLOOKUP(C326,Customers!A:A,Customers!B:B)</f>
        <v xml:space="preserve"> Rawan Mazen</v>
      </c>
      <c r="I326" s="3" t="str">
        <f>_xlfn.XLOOKUP(D326,Products!A:A,Products!B:B)</f>
        <v>XPG GAMMIX S60 Gen 4 NVME M.2 - Black - 512gb</v>
      </c>
    </row>
    <row r="327" spans="1:9" x14ac:dyDescent="0.25">
      <c r="A327" s="3">
        <v>1326</v>
      </c>
      <c r="B327" s="2">
        <v>46018</v>
      </c>
      <c r="C327" s="3">
        <v>78</v>
      </c>
      <c r="D327" s="3">
        <v>120</v>
      </c>
      <c r="E327" s="3">
        <v>1</v>
      </c>
      <c r="F327" s="6">
        <f>_xlfn.XLOOKUP(D327, Products!A:A,Products!E:E, )</f>
        <v>2000</v>
      </c>
      <c r="G327" s="5">
        <f t="shared" si="7"/>
        <v>2000</v>
      </c>
      <c r="H327" s="3" t="str">
        <f>_xlfn.XLOOKUP(C327,Customers!A:A,Customers!B:B)</f>
        <v xml:space="preserve"> Amani Lutfi</v>
      </c>
      <c r="I327" s="3" t="str">
        <f>_xlfn.XLOOKUP(D327,Products!A:A,Products!B:B)</f>
        <v>Intel Core i9-13900 CPU</v>
      </c>
    </row>
    <row r="328" spans="1:9" x14ac:dyDescent="0.25">
      <c r="A328" s="3">
        <v>1327</v>
      </c>
      <c r="B328" s="2">
        <v>46018</v>
      </c>
      <c r="C328" s="3">
        <v>135</v>
      </c>
      <c r="D328" s="3">
        <v>145</v>
      </c>
      <c r="E328" s="3">
        <v>1</v>
      </c>
      <c r="F328" s="6">
        <f>_xlfn.XLOOKUP(D328, Products!A:A,Products!E:E, )</f>
        <v>1700</v>
      </c>
      <c r="G328" s="5">
        <f t="shared" si="7"/>
        <v>1700</v>
      </c>
      <c r="H328" s="3" t="str">
        <f>_xlfn.XLOOKUP(C328,Customers!A:A,Customers!B:B)</f>
        <v>Sari Majhed</v>
      </c>
      <c r="I328" s="3" t="str">
        <f>_xlfn.XLOOKUP(D328,Products!A:A,Products!B:B)</f>
        <v>Samsung Odyssey G5 27" QHD 144Hz</v>
      </c>
    </row>
    <row r="329" spans="1:9" x14ac:dyDescent="0.25">
      <c r="A329" s="3">
        <v>1328</v>
      </c>
      <c r="B329" s="2">
        <v>46018</v>
      </c>
      <c r="C329" s="3">
        <v>136</v>
      </c>
      <c r="D329" s="3">
        <v>125</v>
      </c>
      <c r="E329" s="3">
        <v>4</v>
      </c>
      <c r="F329" s="6">
        <f>_xlfn.XLOOKUP(D329, Products!A:A,Products!E:E, )</f>
        <v>300</v>
      </c>
      <c r="G329" s="5">
        <f t="shared" si="7"/>
        <v>1200</v>
      </c>
      <c r="H329" s="3" t="str">
        <f>_xlfn.XLOOKUP(C329,Customers!A:A,Customers!B:B)</f>
        <v>Ali Saud</v>
      </c>
      <c r="I329" s="3" t="str">
        <f>_xlfn.XLOOKUP(D329,Products!A:A,Products!B:B)</f>
        <v>Logitech MX Master 3S Mouse</v>
      </c>
    </row>
    <row r="330" spans="1:9" x14ac:dyDescent="0.25">
      <c r="A330" s="3">
        <v>1329</v>
      </c>
      <c r="B330" s="2">
        <v>46018</v>
      </c>
      <c r="C330" s="3">
        <v>120</v>
      </c>
      <c r="D330" s="3">
        <v>102</v>
      </c>
      <c r="E330" s="3">
        <v>1</v>
      </c>
      <c r="F330" s="6">
        <f>_xlfn.XLOOKUP(D330, Products!A:A,Products!E:E, )</f>
        <v>1800</v>
      </c>
      <c r="G330" s="5">
        <f t="shared" si="7"/>
        <v>1800</v>
      </c>
      <c r="H330" s="3" t="str">
        <f>_xlfn.XLOOKUP(C330,Customers!A:A,Customers!B:B)</f>
        <v>Yara Mohammed</v>
      </c>
      <c r="I330" s="3" t="str">
        <f>_xlfn.XLOOKUP(D330,Products!A:A,Products!B:B)</f>
        <v>Corsair HS50 Pro</v>
      </c>
    </row>
    <row r="331" spans="1:9" x14ac:dyDescent="0.25">
      <c r="A331" s="3">
        <v>1330</v>
      </c>
      <c r="B331" s="2">
        <v>46019</v>
      </c>
      <c r="C331" s="3">
        <v>137</v>
      </c>
      <c r="D331" s="3">
        <v>115</v>
      </c>
      <c r="E331" s="3">
        <v>1</v>
      </c>
      <c r="F331" s="6">
        <f>_xlfn.XLOOKUP(D331, Products!A:A,Products!E:E, )</f>
        <v>3000</v>
      </c>
      <c r="G331" s="5">
        <f t="shared" si="7"/>
        <v>3000</v>
      </c>
      <c r="H331" s="3" t="str">
        <f>_xlfn.XLOOKUP(C331,Customers!A:A,Customers!B:B)</f>
        <v xml:space="preserve">Ali Ahmed </v>
      </c>
      <c r="I331" s="3" t="str">
        <f>_xlfn.XLOOKUP(D331,Products!A:A,Products!B:B)</f>
        <v>Sapphire PULSE AMD Radeon RX 9070 XT 16GB GPU</v>
      </c>
    </row>
    <row r="332" spans="1:9" x14ac:dyDescent="0.25">
      <c r="A332" s="3">
        <v>1331</v>
      </c>
      <c r="B332" s="2">
        <v>46020</v>
      </c>
      <c r="C332" s="3">
        <v>138</v>
      </c>
      <c r="D332" s="3">
        <v>118</v>
      </c>
      <c r="E332" s="3">
        <v>1</v>
      </c>
      <c r="F332" s="6">
        <f>_xlfn.XLOOKUP(D332, Products!A:A,Products!E:E, )</f>
        <v>1000</v>
      </c>
      <c r="G332" s="5">
        <f t="shared" si="7"/>
        <v>1000</v>
      </c>
      <c r="H332" s="3" t="str">
        <f>_xlfn.XLOOKUP(C332,Customers!A:A,Customers!B:B)</f>
        <v>Norah Mohammed</v>
      </c>
      <c r="I332" s="3" t="str">
        <f>_xlfn.XLOOKUP(D332,Products!A:A,Products!B:B)</f>
        <v>Intel Core Ultra 5 245K CPU</v>
      </c>
    </row>
    <row r="333" spans="1:9" x14ac:dyDescent="0.25">
      <c r="A333" s="3">
        <v>1332</v>
      </c>
      <c r="B333" s="2">
        <v>46020</v>
      </c>
      <c r="C333" s="3">
        <v>139</v>
      </c>
      <c r="D333" s="3">
        <v>116</v>
      </c>
      <c r="E333" s="3">
        <v>1</v>
      </c>
      <c r="F333" s="6">
        <f>_xlfn.XLOOKUP(D333, Products!A:A,Products!E:E, )</f>
        <v>2002</v>
      </c>
      <c r="G333" s="5">
        <f t="shared" si="7"/>
        <v>2002</v>
      </c>
      <c r="H333" s="3" t="str">
        <f>_xlfn.XLOOKUP(C333,Customers!A:A,Customers!B:B)</f>
        <v>Razan Yousef</v>
      </c>
      <c r="I333" s="3" t="str">
        <f>_xlfn.XLOOKUP(D333,Products!A:A,Products!B:B)</f>
        <v>PNY GeForce RTX 5060 Ti ARGB OC Triple Fan</v>
      </c>
    </row>
    <row r="334" spans="1:9" x14ac:dyDescent="0.25">
      <c r="A334" s="3">
        <v>1333</v>
      </c>
      <c r="B334" s="2">
        <v>46020</v>
      </c>
      <c r="C334" s="3">
        <v>140</v>
      </c>
      <c r="D334" s="3">
        <v>104</v>
      </c>
      <c r="E334" s="3">
        <v>1</v>
      </c>
      <c r="F334" s="6">
        <f>_xlfn.XLOOKUP(D334, Products!A:A,Products!E:E, )</f>
        <v>500</v>
      </c>
      <c r="G334" s="41">
        <f>E334 *F334</f>
        <v>500</v>
      </c>
      <c r="H334" s="3" t="str">
        <f>_xlfn.XLOOKUP(C334,Customers!A:A,Customers!B:B)</f>
        <v>Arwa ahmed</v>
      </c>
      <c r="I334" s="3" t="str">
        <f>_xlfn.XLOOKUP(D334,Products!A:A,Products!B:B)</f>
        <v>Kayboard_Razer_Tartrus</v>
      </c>
    </row>
    <row r="335" spans="1:9" x14ac:dyDescent="0.25">
      <c r="A335" s="3">
        <v>1334</v>
      </c>
      <c r="B335" s="2">
        <v>46020</v>
      </c>
      <c r="C335" s="3">
        <v>141</v>
      </c>
      <c r="D335" s="3">
        <v>108</v>
      </c>
      <c r="E335" s="3">
        <v>1</v>
      </c>
      <c r="F335" s="6">
        <f>_xlfn.XLOOKUP(D335, Products!A:A,Products!E:E, )</f>
        <v>400</v>
      </c>
      <c r="G335" s="41">
        <f>E335 *F335</f>
        <v>400</v>
      </c>
      <c r="H335" s="3" t="str">
        <f>_xlfn.XLOOKUP(C335,Customers!A:A,Customers!B:B)</f>
        <v>Manaf Ahmed</v>
      </c>
      <c r="I335" s="3" t="str">
        <f>_xlfn.XLOOKUP(D335,Products!A:A,Products!B:B)</f>
        <v>Logitech MX Pro  Mouse</v>
      </c>
    </row>
    <row r="336" spans="1:9" x14ac:dyDescent="0.25">
      <c r="A336" s="3">
        <v>1335</v>
      </c>
      <c r="B336" s="2">
        <v>46021</v>
      </c>
      <c r="C336" s="3">
        <v>142</v>
      </c>
      <c r="D336" s="3">
        <v>109</v>
      </c>
      <c r="E336" s="3">
        <v>1</v>
      </c>
      <c r="F336" s="6">
        <f>_xlfn.XLOOKUP(D336, Products!A:A,Products!E:E, )</f>
        <v>1600</v>
      </c>
      <c r="G336" s="41">
        <f>E336 *F336</f>
        <v>1600</v>
      </c>
      <c r="H336" s="3" t="str">
        <f>_xlfn.XLOOKUP(C336,Customers!A:A,Customers!B:B)</f>
        <v>Yasser Fasial</v>
      </c>
      <c r="I336" s="3" t="str">
        <f>_xlfn.XLOOKUP(D336,Products!A:A,Products!B:B)</f>
        <v>Xbox_One</v>
      </c>
    </row>
    <row r="337" spans="1:9" x14ac:dyDescent="0.25">
      <c r="A337" s="3">
        <v>1336</v>
      </c>
      <c r="B337" s="2">
        <v>46021</v>
      </c>
      <c r="C337" s="3">
        <v>144</v>
      </c>
      <c r="D337" s="3">
        <v>107</v>
      </c>
      <c r="E337" s="3">
        <v>1</v>
      </c>
      <c r="F337" s="6">
        <f>_xlfn.XLOOKUP(D337, Products!A:A,Products!E:E, )</f>
        <v>250</v>
      </c>
      <c r="G337" s="41">
        <f t="shared" ref="G337:G341" si="8">E337 *F337</f>
        <v>250</v>
      </c>
      <c r="H337" s="3" t="str">
        <f>_xlfn.XLOOKUP(C337,Customers!A:A,Customers!B:B)</f>
        <v>Hamdan Abdullah</v>
      </c>
      <c r="I337" s="3" t="str">
        <f>_xlfn.XLOOKUP(D337,Products!A:A,Products!B:B)</f>
        <v>Logitech_G50</v>
      </c>
    </row>
    <row r="338" spans="1:9" x14ac:dyDescent="0.25">
      <c r="A338" s="3">
        <v>1337</v>
      </c>
      <c r="B338" s="2">
        <v>46021</v>
      </c>
      <c r="C338" s="3">
        <v>79</v>
      </c>
      <c r="D338" s="3">
        <v>105</v>
      </c>
      <c r="E338" s="3">
        <v>1</v>
      </c>
      <c r="F338" s="6">
        <f>_xlfn.XLOOKUP(D338, Products!A:A,Products!E:E, )</f>
        <v>700</v>
      </c>
      <c r="G338" s="41">
        <f t="shared" si="8"/>
        <v>700</v>
      </c>
      <c r="H338" s="3" t="str">
        <f>_xlfn.XLOOKUP(C338,Customers!A:A,Customers!B:B)</f>
        <v xml:space="preserve"> Bader Hilal</v>
      </c>
      <c r="I338" s="3" t="str">
        <f>_xlfn.XLOOKUP(D338,Products!A:A,Products!B:B)</f>
        <v>HyperX Cloud Alpha</v>
      </c>
    </row>
    <row r="339" spans="1:9" x14ac:dyDescent="0.25">
      <c r="A339" s="3">
        <v>1338</v>
      </c>
      <c r="B339" s="2">
        <v>46021</v>
      </c>
      <c r="C339" s="3">
        <v>145</v>
      </c>
      <c r="D339" s="3">
        <v>104</v>
      </c>
      <c r="E339" s="3">
        <v>1</v>
      </c>
      <c r="F339" s="6">
        <f>_xlfn.XLOOKUP(D339, Products!A:A,Products!E:E, )</f>
        <v>500</v>
      </c>
      <c r="G339" s="41">
        <f t="shared" si="8"/>
        <v>500</v>
      </c>
      <c r="H339" s="3" t="str">
        <f>_xlfn.XLOOKUP(C339,Customers!A:A,Customers!B:B)</f>
        <v>Abdullalkrem Saud</v>
      </c>
      <c r="I339" s="3" t="str">
        <f>_xlfn.XLOOKUP(D339,Products!A:A,Products!B:B)</f>
        <v>Kayboard_Razer_Tartrus</v>
      </c>
    </row>
    <row r="340" spans="1:9" x14ac:dyDescent="0.25">
      <c r="A340" s="3">
        <v>1339</v>
      </c>
      <c r="B340" s="2">
        <v>46021</v>
      </c>
      <c r="C340" s="3">
        <v>100</v>
      </c>
      <c r="D340" s="3">
        <v>104</v>
      </c>
      <c r="E340" s="3">
        <v>3</v>
      </c>
      <c r="F340" s="6">
        <f>_xlfn.XLOOKUP(D340, Products!A:A,Products!E:E, )</f>
        <v>500</v>
      </c>
      <c r="G340" s="41">
        <f t="shared" si="8"/>
        <v>1500</v>
      </c>
      <c r="H340" s="3" t="str">
        <f>_xlfn.XLOOKUP(C340,Customers!A:A,Customers!B:B)</f>
        <v xml:space="preserve"> Ikram Yusuf</v>
      </c>
      <c r="I340" s="3" t="str">
        <f>_xlfn.XLOOKUP(D340,Products!A:A,Products!B:B)</f>
        <v>Kayboard_Razer_Tartrus</v>
      </c>
    </row>
    <row r="341" spans="1:9" x14ac:dyDescent="0.25">
      <c r="A341" s="3">
        <v>1340</v>
      </c>
      <c r="B341" s="2">
        <v>46021</v>
      </c>
      <c r="C341" s="3">
        <v>146</v>
      </c>
      <c r="D341" s="3">
        <v>103</v>
      </c>
      <c r="E341" s="3">
        <v>4</v>
      </c>
      <c r="F341" s="6">
        <f>_xlfn.XLOOKUP(D341, Products!A:A,Products!E:E, )</f>
        <v>280</v>
      </c>
      <c r="G341" s="41">
        <f t="shared" si="8"/>
        <v>1120</v>
      </c>
      <c r="H341" s="3" t="str">
        <f>_xlfn.XLOOKUP(C341,Customers!A:A,Customers!B:B)</f>
        <v>Mohamed Fahad</v>
      </c>
      <c r="I341" s="3" t="str">
        <f>_xlfn.XLOOKUP(D341,Products!A:A,Products!B:B)</f>
        <v>Kayborad_Red_dragon</v>
      </c>
    </row>
    <row r="342" spans="1:9" x14ac:dyDescent="0.25">
      <c r="A342" s="3">
        <v>1341</v>
      </c>
      <c r="B342" s="2">
        <v>46021</v>
      </c>
      <c r="C342" s="3">
        <v>147</v>
      </c>
      <c r="D342" s="3">
        <v>100</v>
      </c>
      <c r="E342" s="3">
        <v>1</v>
      </c>
      <c r="F342" s="3">
        <f>_xlfn.XLOOKUP(D342, Products!A:A,Products!E:E, )</f>
        <v>1000</v>
      </c>
      <c r="G342" s="5">
        <f>E342 *F342</f>
        <v>1000</v>
      </c>
      <c r="H342" s="3" t="str">
        <f>_xlfn.XLOOKUP(C342,Customers!A:A,Customers!B:B)</f>
        <v>Shahd Abdullah</v>
      </c>
      <c r="I342" s="3" t="str">
        <f>_xlfn.XLOOKUP(D342,Products!A:A,Products!B:B)</f>
        <v>SteelSeries Arctis 7</v>
      </c>
    </row>
    <row r="343" spans="1:9" x14ac:dyDescent="0.25">
      <c r="A343" s="3">
        <v>1342</v>
      </c>
      <c r="B343" s="2">
        <v>46021</v>
      </c>
      <c r="C343" s="3">
        <v>148</v>
      </c>
      <c r="D343" s="3">
        <v>101</v>
      </c>
      <c r="E343" s="3">
        <v>2</v>
      </c>
      <c r="F343" s="3">
        <f>_xlfn.XLOOKUP(D343, Products!A:A,Products!E:E, )</f>
        <v>1400</v>
      </c>
      <c r="G343" s="5">
        <f>E343 *F343</f>
        <v>2800</v>
      </c>
      <c r="H343" s="3" t="str">
        <f>_xlfn.XLOOKUP(C343,Customers!A:A,Customers!B:B)</f>
        <v>Reem Faisal</v>
      </c>
      <c r="I343" s="3" t="str">
        <f>_xlfn.XLOOKUP(D343,Products!A:A,Products!B:B)</f>
        <v>HyperX Cloud II</v>
      </c>
    </row>
    <row r="344" spans="1:9" x14ac:dyDescent="0.25">
      <c r="A344" s="3">
        <v>1343</v>
      </c>
      <c r="B344" s="2">
        <v>46021</v>
      </c>
      <c r="C344" s="3">
        <v>149</v>
      </c>
      <c r="D344" s="3">
        <v>101</v>
      </c>
      <c r="E344" s="3">
        <v>3</v>
      </c>
      <c r="F344" s="3">
        <f>_xlfn.XLOOKUP(D344, Products!A:A,Products!E:E, )</f>
        <v>1400</v>
      </c>
      <c r="G344" s="5">
        <f>E344 *F344</f>
        <v>4200</v>
      </c>
      <c r="H344" s="3" t="str">
        <f>_xlfn.XLOOKUP(C344,Customers!A:A,Customers!B:B)</f>
        <v>Abdulaziz Sultan</v>
      </c>
      <c r="I344" s="3" t="str">
        <f>_xlfn.XLOOKUP(D344,Products!A:A,Products!B:B)</f>
        <v>HyperX Cloud II</v>
      </c>
    </row>
    <row r="345" spans="1:9" x14ac:dyDescent="0.25">
      <c r="A345" s="3">
        <v>1344</v>
      </c>
      <c r="B345" s="2">
        <v>46021</v>
      </c>
      <c r="C345" s="3">
        <v>149</v>
      </c>
      <c r="D345" s="3">
        <v>105</v>
      </c>
      <c r="E345" s="3">
        <v>1</v>
      </c>
      <c r="F345" s="3">
        <f>_xlfn.XLOOKUP(D345, Products!A:A,Products!E:E, )</f>
        <v>700</v>
      </c>
      <c r="G345" s="5">
        <f>E345 *F345</f>
        <v>700</v>
      </c>
      <c r="H345" s="3" t="str">
        <f>_xlfn.XLOOKUP(C345,Customers!A:A,Customers!B:B)</f>
        <v>Abdulaziz Sultan</v>
      </c>
      <c r="I345" s="42" t="str">
        <f>_xlfn.XLOOKUP(D345,Products!A:A,Products!B:B)</f>
        <v>HyperX Cloud Alpha</v>
      </c>
    </row>
    <row r="346" spans="1:9" x14ac:dyDescent="0.25">
      <c r="A346" s="3">
        <v>1345</v>
      </c>
      <c r="B346" s="2">
        <v>46021</v>
      </c>
      <c r="C346" s="3">
        <v>149</v>
      </c>
      <c r="D346" s="3">
        <v>125</v>
      </c>
      <c r="E346" s="3">
        <v>2</v>
      </c>
      <c r="F346" s="3">
        <f>_xlfn.XLOOKUP(D346, Products!A:A,Products!E:E, )</f>
        <v>300</v>
      </c>
      <c r="G346" s="5">
        <f>E346 *F346</f>
        <v>600</v>
      </c>
      <c r="H346" s="3" t="str">
        <f>_xlfn.XLOOKUP(C346,Customers!A:A,Customers!B:B)</f>
        <v>Abdulaziz Sultan</v>
      </c>
      <c r="I346" s="42" t="str">
        <f>_xlfn.XLOOKUP(D346,Products!A:A,Products!B:B)</f>
        <v>Logitech MX Master 3S Mouse</v>
      </c>
    </row>
    <row r="347" spans="1:9" x14ac:dyDescent="0.25">
      <c r="A347" s="3">
        <v>1346</v>
      </c>
      <c r="B347" s="2">
        <v>46021</v>
      </c>
      <c r="C347" s="3">
        <v>150</v>
      </c>
      <c r="D347" s="3">
        <v>130</v>
      </c>
      <c r="E347" s="3">
        <v>3</v>
      </c>
      <c r="F347" s="3">
        <f>_xlfn.XLOOKUP(D347, Products!A:A,Products!E:E, )</f>
        <v>2250</v>
      </c>
      <c r="G347" s="5">
        <f>E347 *F347</f>
        <v>6750</v>
      </c>
      <c r="H347" s="3" t="str">
        <f>_xlfn.XLOOKUP(C347,Customers!A:A,Customers!B:B)</f>
        <v>Omar Rashid</v>
      </c>
      <c r="I347" s="42" t="str">
        <f>_xlfn.XLOOKUP(D347,Products!A:A,Products!B:B)</f>
        <v>MSI RTX 4070 Ti Super Gaming X</v>
      </c>
    </row>
  </sheetData>
  <sheetProtection insertColumns="0" insertRows="0" deleteColumns="0" deleteRows="0" sort="0" pivotTables="0"/>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E127-237E-4DC7-A41A-7089CA442B48}">
  <sheetPr codeName="Sheet6"/>
  <dimension ref="A1:C20"/>
  <sheetViews>
    <sheetView workbookViewId="0">
      <selection activeCell="D24" sqref="D24"/>
    </sheetView>
  </sheetViews>
  <sheetFormatPr defaultRowHeight="15" x14ac:dyDescent="0.25"/>
  <cols>
    <col min="1" max="1" width="23.140625" style="60" customWidth="1"/>
    <col min="2" max="2" width="14.85546875" style="60" customWidth="1"/>
    <col min="3" max="3" width="17.42578125" style="60" customWidth="1"/>
    <col min="4" max="16384" width="9.140625" style="60"/>
  </cols>
  <sheetData>
    <row r="1" spans="1:3" ht="30" customHeight="1" x14ac:dyDescent="0.35">
      <c r="A1" s="62" t="s">
        <v>276</v>
      </c>
      <c r="B1" s="63"/>
      <c r="C1" s="63"/>
    </row>
    <row r="2" spans="1:3" ht="21" x14ac:dyDescent="0.35">
      <c r="A2" s="67" t="s">
        <v>271</v>
      </c>
      <c r="B2" s="68"/>
    </row>
    <row r="3" spans="1:3" ht="34.5" customHeight="1" x14ac:dyDescent="0.3">
      <c r="A3" s="61" t="s">
        <v>278</v>
      </c>
      <c r="B3" s="65">
        <f>SUM(Table3[Sales])</f>
        <v>622458.24242424243</v>
      </c>
    </row>
    <row r="4" spans="1:3" ht="31.5" customHeight="1" x14ac:dyDescent="0.3">
      <c r="A4" s="61" t="s">
        <v>277</v>
      </c>
      <c r="B4" s="65">
        <f>B3/COUNTA(Orders!A:A)-1</f>
        <v>1792.8277879661166</v>
      </c>
    </row>
    <row r="5" spans="1:3" ht="36" customHeight="1" x14ac:dyDescent="0.3">
      <c r="A5" s="61" t="s">
        <v>279</v>
      </c>
      <c r="B5" s="66">
        <f>MAX(Table3[Sales])</f>
        <v>7200</v>
      </c>
    </row>
    <row r="6" spans="1:3" ht="26.25" customHeight="1" x14ac:dyDescent="0.35">
      <c r="A6" s="67" t="s">
        <v>280</v>
      </c>
      <c r="B6" s="64"/>
    </row>
    <row r="7" spans="1:3" ht="33.75" customHeight="1" x14ac:dyDescent="0.3">
      <c r="A7" s="60" t="s">
        <v>281</v>
      </c>
      <c r="B7" s="57">
        <f>COUNTA(_xlfn.UNIQUE(Orders!C:C))</f>
        <v>150</v>
      </c>
    </row>
    <row r="8" spans="1:3" ht="33.75" customHeight="1" x14ac:dyDescent="0.3">
      <c r="A8" s="61" t="s">
        <v>284</v>
      </c>
      <c r="B8" s="57">
        <f>COUNTA(Key_Metrics!A:A,B7)</f>
        <v>14</v>
      </c>
    </row>
    <row r="9" spans="1:3" ht="36" customHeight="1" x14ac:dyDescent="0.35">
      <c r="A9" s="58" t="s">
        <v>283</v>
      </c>
      <c r="B9" s="59"/>
    </row>
    <row r="10" spans="1:3" ht="20.25" customHeight="1" x14ac:dyDescent="0.3">
      <c r="A10" s="61" t="s">
        <v>272</v>
      </c>
      <c r="B10" s="74">
        <f>SUMIFS(Orders!G:G,
        Orders!B:B, "&gt;="&amp;DATE(2025,9,1),
        Orders!B:B, "&lt;"&amp;DATE(2025,10,1))</f>
        <v>50624</v>
      </c>
    </row>
    <row r="11" spans="1:3" ht="24.75" customHeight="1" x14ac:dyDescent="0.3">
      <c r="A11" s="69" t="s">
        <v>273</v>
      </c>
      <c r="B11" s="74">
        <f>SUMIFS(Orders!G:G,Orders!B:B,"&gt;="&amp;DATE(2025,10,1),Orders!B:B,"&lt;"&amp;DATE(2025,11,1))</f>
        <v>119144</v>
      </c>
    </row>
    <row r="12" spans="1:3" ht="20.25" customHeight="1" x14ac:dyDescent="0.3">
      <c r="A12" s="61" t="s">
        <v>274</v>
      </c>
      <c r="B12" s="74">
        <f>SUMIFS(Orders!G:G,Orders!B:B,"&gt;="&amp;DATE(2025,11,1),Orders!B:B,"&lt;"&amp;DATE(2025,12,1))</f>
        <v>147332</v>
      </c>
    </row>
    <row r="13" spans="1:3" ht="22.5" customHeight="1" x14ac:dyDescent="0.3">
      <c r="A13" s="69" t="s">
        <v>275</v>
      </c>
      <c r="B13" s="74">
        <f>SUMIFS(Orders!G:G,Orders!B:B,"&gt;="&amp;DATE(2025,12,1),Orders!B:B,"&lt;"&amp;DATE(2026,1,1))</f>
        <v>305358.24242424243</v>
      </c>
    </row>
    <row r="14" spans="1:3" x14ac:dyDescent="0.25">
      <c r="B14" s="57"/>
    </row>
    <row r="15" spans="1:3" x14ac:dyDescent="0.25">
      <c r="B15" s="57"/>
    </row>
    <row r="16" spans="1:3" x14ac:dyDescent="0.25">
      <c r="B16" s="57"/>
    </row>
    <row r="17" spans="2:2" x14ac:dyDescent="0.25">
      <c r="B17" s="57"/>
    </row>
    <row r="18" spans="2:2" x14ac:dyDescent="0.25">
      <c r="B18" s="57"/>
    </row>
    <row r="19" spans="2:2" x14ac:dyDescent="0.25">
      <c r="B19" s="57"/>
    </row>
    <row r="20" spans="2:2" x14ac:dyDescent="0.25">
      <c r="B20" s="5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74067-FED0-469F-8285-45FC3B4D09FC}">
  <sheetPr codeName="Sheet5"/>
  <dimension ref="E1:T147"/>
  <sheetViews>
    <sheetView topLeftCell="B1" workbookViewId="0">
      <selection activeCell="S12" sqref="S12"/>
    </sheetView>
  </sheetViews>
  <sheetFormatPr defaultRowHeight="15" x14ac:dyDescent="0.25"/>
  <cols>
    <col min="4" max="5" width="14.140625" bestFit="1" customWidth="1"/>
    <col min="6" max="6" width="12.5703125" bestFit="1" customWidth="1"/>
    <col min="7" max="7" width="46" bestFit="1" customWidth="1"/>
    <col min="8" max="8" width="12.5703125" style="47" bestFit="1" customWidth="1"/>
    <col min="9" max="9" width="21.5703125" bestFit="1" customWidth="1"/>
    <col min="10" max="10" width="12.5703125" style="47" bestFit="1" customWidth="1"/>
    <col min="11" max="11" width="11.28515625" bestFit="1" customWidth="1"/>
    <col min="12" max="12" width="12.5703125" style="47" bestFit="1" customWidth="1"/>
    <col min="13" max="13" width="15.5703125" bestFit="1" customWidth="1"/>
    <col min="14" max="14" width="12.5703125" style="47" bestFit="1" customWidth="1"/>
    <col min="15" max="15" width="11.85546875" bestFit="1" customWidth="1"/>
    <col min="16" max="16" width="12.5703125" style="47" bestFit="1" customWidth="1"/>
    <col min="19" max="19" width="9.140625" bestFit="1" customWidth="1"/>
    <col min="20" max="20" width="12.5703125" bestFit="1" customWidth="1"/>
  </cols>
  <sheetData>
    <row r="1" spans="5:20" x14ac:dyDescent="0.25">
      <c r="E1" s="45" t="s">
        <v>25</v>
      </c>
      <c r="F1" t="s">
        <v>199</v>
      </c>
      <c r="G1" s="45" t="s">
        <v>260</v>
      </c>
      <c r="H1" s="47" t="s">
        <v>199</v>
      </c>
      <c r="I1" s="45" t="s">
        <v>261</v>
      </c>
      <c r="J1" s="47" t="s">
        <v>199</v>
      </c>
      <c r="K1" s="45" t="s">
        <v>262</v>
      </c>
      <c r="L1" s="47" t="s">
        <v>199</v>
      </c>
      <c r="M1" s="45" t="s">
        <v>52</v>
      </c>
      <c r="N1" s="47" t="s">
        <v>199</v>
      </c>
      <c r="O1" s="45" t="s">
        <v>204</v>
      </c>
      <c r="P1" s="47" t="s">
        <v>199</v>
      </c>
      <c r="Q1" s="40"/>
    </row>
    <row r="2" spans="5:20" x14ac:dyDescent="0.25">
      <c r="E2" s="7" t="s">
        <v>63</v>
      </c>
      <c r="F2" s="71">
        <v>84649.090909090912</v>
      </c>
      <c r="G2" s="7" t="s">
        <v>21</v>
      </c>
      <c r="H2" s="47">
        <v>20749.090909090915</v>
      </c>
      <c r="I2" s="7" t="s">
        <v>112</v>
      </c>
      <c r="J2" s="47">
        <v>17700</v>
      </c>
      <c r="K2" s="7" t="s">
        <v>259</v>
      </c>
      <c r="L2" s="47">
        <v>50624</v>
      </c>
      <c r="M2" s="7" t="s">
        <v>70</v>
      </c>
      <c r="N2" s="47">
        <v>3900</v>
      </c>
      <c r="O2" s="7" t="s">
        <v>207</v>
      </c>
      <c r="P2" s="47">
        <v>149306.42424242425</v>
      </c>
      <c r="Q2" s="40"/>
    </row>
    <row r="3" spans="5:20" x14ac:dyDescent="0.25">
      <c r="E3" s="7" t="s">
        <v>83</v>
      </c>
      <c r="F3" s="71">
        <v>6000</v>
      </c>
      <c r="G3" s="7" t="s">
        <v>41</v>
      </c>
      <c r="H3" s="47">
        <v>20800</v>
      </c>
      <c r="I3" s="7" t="s">
        <v>128</v>
      </c>
      <c r="J3" s="47">
        <v>13500</v>
      </c>
      <c r="K3" s="7" t="s">
        <v>197</v>
      </c>
      <c r="L3" s="47">
        <v>119144</v>
      </c>
      <c r="M3" s="7" t="s">
        <v>71</v>
      </c>
      <c r="N3" s="47">
        <v>17700</v>
      </c>
      <c r="O3" s="7" t="s">
        <v>205</v>
      </c>
      <c r="P3" s="47">
        <v>147152.18181818182</v>
      </c>
      <c r="Q3" s="40"/>
    </row>
    <row r="4" spans="5:20" x14ac:dyDescent="0.25">
      <c r="E4" s="7" t="s">
        <v>79</v>
      </c>
      <c r="F4" s="71">
        <v>26700</v>
      </c>
      <c r="G4" s="7" t="s">
        <v>51</v>
      </c>
      <c r="H4" s="47">
        <v>22800</v>
      </c>
      <c r="I4" s="7" t="s">
        <v>133</v>
      </c>
      <c r="J4" s="47">
        <v>13100</v>
      </c>
      <c r="K4" s="7" t="s">
        <v>210</v>
      </c>
      <c r="L4" s="47">
        <v>147332</v>
      </c>
      <c r="M4" s="7" t="s">
        <v>2</v>
      </c>
      <c r="N4" s="47">
        <v>26300</v>
      </c>
      <c r="O4" s="7" t="s">
        <v>208</v>
      </c>
      <c r="P4" s="47">
        <v>119258.54545454546</v>
      </c>
      <c r="Q4" s="40"/>
    </row>
    <row r="5" spans="5:20" x14ac:dyDescent="0.25">
      <c r="E5" s="7" t="s">
        <v>74</v>
      </c>
      <c r="F5" s="71">
        <v>24600</v>
      </c>
      <c r="G5" s="7" t="s">
        <v>34</v>
      </c>
      <c r="H5" s="47">
        <v>23800</v>
      </c>
      <c r="I5" s="7" t="s">
        <v>90</v>
      </c>
      <c r="J5" s="47">
        <v>13010</v>
      </c>
      <c r="K5" s="7" t="s">
        <v>198</v>
      </c>
      <c r="L5" s="47">
        <v>305358.24242424243</v>
      </c>
      <c r="M5" s="7" t="s">
        <v>67</v>
      </c>
      <c r="N5" s="47">
        <v>30300</v>
      </c>
      <c r="O5" s="7" t="s">
        <v>206</v>
      </c>
      <c r="P5" s="47">
        <v>206741.09090909091</v>
      </c>
      <c r="Q5" s="40"/>
      <c r="S5" t="s">
        <v>264</v>
      </c>
      <c r="T5" s="47" t="s">
        <v>199</v>
      </c>
    </row>
    <row r="6" spans="5:20" x14ac:dyDescent="0.25">
      <c r="E6" s="7" t="s">
        <v>56</v>
      </c>
      <c r="F6" s="71">
        <v>9463.0303030303039</v>
      </c>
      <c r="G6" s="7" t="s">
        <v>23</v>
      </c>
      <c r="H6" s="47">
        <v>24000</v>
      </c>
      <c r="I6" s="7" t="s">
        <v>93</v>
      </c>
      <c r="J6" s="47">
        <v>11502</v>
      </c>
      <c r="K6" s="7" t="s">
        <v>196</v>
      </c>
      <c r="L6" s="47">
        <v>622458.24242424243</v>
      </c>
      <c r="M6" s="7" t="s">
        <v>3</v>
      </c>
      <c r="N6" s="47">
        <v>32550</v>
      </c>
      <c r="O6" s="7" t="s">
        <v>196</v>
      </c>
      <c r="P6" s="47">
        <v>622458.24242424243</v>
      </c>
      <c r="Q6" s="40"/>
      <c r="S6" s="73">
        <v>346</v>
      </c>
      <c r="T6" s="46">
        <v>622458.24242424243</v>
      </c>
    </row>
    <row r="7" spans="5:20" x14ac:dyDescent="0.25">
      <c r="E7" s="7" t="s">
        <v>85</v>
      </c>
      <c r="F7" s="71">
        <v>20800</v>
      </c>
      <c r="G7" s="7" t="s">
        <v>19</v>
      </c>
      <c r="H7" s="47">
        <v>24000</v>
      </c>
      <c r="I7" s="7" t="s">
        <v>106</v>
      </c>
      <c r="J7" s="47">
        <v>10908.484848484848</v>
      </c>
      <c r="K7" s="40"/>
      <c r="L7" s="46"/>
      <c r="M7" s="7" t="s">
        <v>53</v>
      </c>
      <c r="N7" s="47">
        <v>59300</v>
      </c>
      <c r="O7" s="40"/>
      <c r="P7" s="46"/>
      <c r="Q7" s="40"/>
    </row>
    <row r="8" spans="5:20" x14ac:dyDescent="0.25">
      <c r="E8" s="7" t="s">
        <v>84</v>
      </c>
      <c r="F8" s="71">
        <v>5600</v>
      </c>
      <c r="G8" s="7" t="s">
        <v>33</v>
      </c>
      <c r="H8" s="47">
        <v>29250</v>
      </c>
      <c r="I8" s="7" t="s">
        <v>142</v>
      </c>
      <c r="J8" s="47">
        <v>10000</v>
      </c>
      <c r="K8" s="40"/>
      <c r="L8" s="46"/>
      <c r="M8" s="7" t="s">
        <v>69</v>
      </c>
      <c r="N8" s="47">
        <v>68938.181818181809</v>
      </c>
      <c r="O8" s="40"/>
      <c r="P8" s="46"/>
      <c r="Q8" s="40"/>
      <c r="S8" s="46">
        <f>GETPIVOTDATA("[Measures].[Sum of Sales]",$O$1)</f>
        <v>622458.24242424243</v>
      </c>
      <c r="T8" s="49">
        <f>S6</f>
        <v>346</v>
      </c>
    </row>
    <row r="9" spans="5:20" x14ac:dyDescent="0.25">
      <c r="E9" s="7" t="s">
        <v>73</v>
      </c>
      <c r="F9" s="71">
        <v>25900</v>
      </c>
      <c r="G9" s="7" t="s">
        <v>16</v>
      </c>
      <c r="H9" s="47">
        <v>33000</v>
      </c>
      <c r="I9" s="7" t="s">
        <v>99</v>
      </c>
      <c r="J9" s="47">
        <v>9900</v>
      </c>
      <c r="K9" s="40"/>
      <c r="L9" s="46"/>
      <c r="M9" s="7" t="s">
        <v>68</v>
      </c>
      <c r="N9" s="47">
        <v>72276.969696969696</v>
      </c>
      <c r="O9" s="40"/>
      <c r="P9" s="46"/>
      <c r="Q9" s="40"/>
    </row>
    <row r="10" spans="5:20" x14ac:dyDescent="0.25">
      <c r="E10" s="7" t="s">
        <v>62</v>
      </c>
      <c r="F10" s="71">
        <v>79200</v>
      </c>
      <c r="G10" s="7" t="s">
        <v>24</v>
      </c>
      <c r="H10" s="47">
        <v>36300</v>
      </c>
      <c r="I10" s="7" t="s">
        <v>121</v>
      </c>
      <c r="J10" s="47">
        <v>9400</v>
      </c>
      <c r="K10" s="40"/>
      <c r="L10" s="46"/>
      <c r="M10" s="7" t="s">
        <v>65</v>
      </c>
      <c r="N10" s="47">
        <v>147344</v>
      </c>
      <c r="O10" s="40"/>
      <c r="Q10" s="40"/>
    </row>
    <row r="11" spans="5:20" x14ac:dyDescent="0.25">
      <c r="E11" s="7" t="s">
        <v>80</v>
      </c>
      <c r="F11" s="71">
        <v>7500</v>
      </c>
      <c r="G11" s="7" t="s">
        <v>15</v>
      </c>
      <c r="H11" s="47">
        <v>39600</v>
      </c>
      <c r="I11" s="7" t="s">
        <v>102</v>
      </c>
      <c r="J11" s="47">
        <v>9150</v>
      </c>
      <c r="K11" s="40"/>
      <c r="L11" s="46"/>
      <c r="M11" s="7" t="s">
        <v>66</v>
      </c>
      <c r="N11" s="47">
        <v>163849.09090909091</v>
      </c>
      <c r="O11" s="40"/>
      <c r="Q11" s="40"/>
    </row>
    <row r="12" spans="5:20" x14ac:dyDescent="0.25">
      <c r="E12" s="7" t="s">
        <v>86</v>
      </c>
      <c r="F12" s="71">
        <v>11738.181818181816</v>
      </c>
      <c r="G12" s="7" t="s">
        <v>196</v>
      </c>
      <c r="H12" s="47">
        <v>274299.09090909094</v>
      </c>
      <c r="I12" s="7" t="s">
        <v>117</v>
      </c>
      <c r="J12" s="47">
        <v>9100</v>
      </c>
      <c r="K12" s="40"/>
      <c r="L12" s="46"/>
      <c r="M12" s="7" t="s">
        <v>196</v>
      </c>
      <c r="N12" s="47">
        <v>622458.24242424243</v>
      </c>
      <c r="O12" s="40"/>
      <c r="P12" s="46"/>
      <c r="Q12" s="40"/>
      <c r="S12" s="47">
        <f>T6/S6</f>
        <v>1799.0122613417411</v>
      </c>
    </row>
    <row r="13" spans="5:20" x14ac:dyDescent="0.25">
      <c r="E13" s="7" t="s">
        <v>54</v>
      </c>
      <c r="F13" s="71">
        <v>10250</v>
      </c>
      <c r="G13" s="40"/>
      <c r="H13" s="46"/>
      <c r="I13" s="7" t="s">
        <v>138</v>
      </c>
      <c r="J13" s="47">
        <v>8480</v>
      </c>
      <c r="K13" s="40"/>
      <c r="L13" s="46"/>
      <c r="O13" s="40"/>
      <c r="P13" s="46"/>
      <c r="Q13" s="40"/>
    </row>
    <row r="14" spans="5:20" x14ac:dyDescent="0.25">
      <c r="E14" s="7" t="s">
        <v>75</v>
      </c>
      <c r="F14" s="71">
        <v>11200</v>
      </c>
      <c r="G14" s="40"/>
      <c r="H14" s="46"/>
      <c r="I14" s="7" t="s">
        <v>89</v>
      </c>
      <c r="J14" s="47">
        <v>8400</v>
      </c>
      <c r="K14" s="40"/>
      <c r="L14" s="46"/>
      <c r="O14" s="40"/>
      <c r="P14" s="46"/>
      <c r="Q14" s="40"/>
    </row>
    <row r="15" spans="5:20" x14ac:dyDescent="0.25">
      <c r="E15" s="7" t="s">
        <v>61</v>
      </c>
      <c r="F15" s="71">
        <v>36930</v>
      </c>
      <c r="I15" s="7" t="s">
        <v>175</v>
      </c>
      <c r="J15" s="47">
        <v>8362</v>
      </c>
    </row>
    <row r="16" spans="5:20" x14ac:dyDescent="0.25">
      <c r="E16" s="7" t="s">
        <v>58</v>
      </c>
      <c r="F16" s="71">
        <v>39600</v>
      </c>
      <c r="I16" s="7" t="s">
        <v>108</v>
      </c>
      <c r="J16" s="47">
        <v>8349.0909090909136</v>
      </c>
    </row>
    <row r="17" spans="5:14" x14ac:dyDescent="0.25">
      <c r="E17" s="7" t="s">
        <v>77</v>
      </c>
      <c r="F17" s="71">
        <v>5400</v>
      </c>
      <c r="I17" s="7" t="s">
        <v>155</v>
      </c>
      <c r="J17" s="47">
        <v>8300</v>
      </c>
    </row>
    <row r="18" spans="5:14" x14ac:dyDescent="0.25">
      <c r="E18" s="7" t="s">
        <v>60</v>
      </c>
      <c r="F18" s="71">
        <v>14014</v>
      </c>
      <c r="I18" s="7" t="s">
        <v>95</v>
      </c>
      <c r="J18" s="47">
        <v>8240</v>
      </c>
      <c r="N18" s="48"/>
    </row>
    <row r="19" spans="5:14" x14ac:dyDescent="0.25">
      <c r="E19" s="7" t="s">
        <v>78</v>
      </c>
      <c r="F19" s="71">
        <v>5500</v>
      </c>
      <c r="I19" s="7" t="s">
        <v>132</v>
      </c>
      <c r="J19" s="47">
        <v>8100</v>
      </c>
    </row>
    <row r="20" spans="5:14" x14ac:dyDescent="0.25">
      <c r="E20" s="7" t="s">
        <v>88</v>
      </c>
      <c r="F20" s="71">
        <v>10500</v>
      </c>
      <c r="I20" s="7" t="s">
        <v>168</v>
      </c>
      <c r="J20" s="47">
        <v>8100</v>
      </c>
    </row>
    <row r="21" spans="5:14" x14ac:dyDescent="0.25">
      <c r="E21" s="7" t="s">
        <v>76</v>
      </c>
      <c r="F21" s="71">
        <v>9800</v>
      </c>
      <c r="I21" s="7" t="s">
        <v>176</v>
      </c>
      <c r="J21" s="47">
        <v>8100</v>
      </c>
    </row>
    <row r="22" spans="5:14" x14ac:dyDescent="0.25">
      <c r="E22" s="7" t="s">
        <v>57</v>
      </c>
      <c r="F22" s="71">
        <v>33913.939393939399</v>
      </c>
      <c r="I22" s="7" t="s">
        <v>181</v>
      </c>
      <c r="J22" s="47">
        <v>8000</v>
      </c>
    </row>
    <row r="23" spans="5:14" x14ac:dyDescent="0.25">
      <c r="E23" s="7" t="s">
        <v>59</v>
      </c>
      <c r="F23" s="71">
        <v>56800</v>
      </c>
      <c r="I23" s="7" t="s">
        <v>169</v>
      </c>
      <c r="J23" s="47">
        <v>7800</v>
      </c>
    </row>
    <row r="24" spans="5:14" x14ac:dyDescent="0.25">
      <c r="E24" s="7" t="s">
        <v>82</v>
      </c>
      <c r="F24" s="71">
        <v>3600</v>
      </c>
      <c r="I24" s="7" t="s">
        <v>137</v>
      </c>
      <c r="J24" s="47">
        <v>7600</v>
      </c>
    </row>
    <row r="25" spans="5:14" x14ac:dyDescent="0.25">
      <c r="E25" s="7" t="s">
        <v>72</v>
      </c>
      <c r="F25" s="71">
        <v>19000</v>
      </c>
      <c r="I25" s="7" t="s">
        <v>223</v>
      </c>
      <c r="J25" s="47">
        <v>7600</v>
      </c>
    </row>
    <row r="26" spans="5:14" x14ac:dyDescent="0.25">
      <c r="E26" s="7" t="s">
        <v>81</v>
      </c>
      <c r="F26" s="71">
        <v>5500</v>
      </c>
      <c r="I26" s="7" t="s">
        <v>127</v>
      </c>
      <c r="J26" s="47">
        <v>7600</v>
      </c>
    </row>
    <row r="27" spans="5:14" x14ac:dyDescent="0.25">
      <c r="E27" s="7" t="s">
        <v>10</v>
      </c>
      <c r="F27" s="71">
        <v>14400</v>
      </c>
      <c r="I27" s="7" t="s">
        <v>143</v>
      </c>
      <c r="J27" s="47">
        <v>7400</v>
      </c>
    </row>
    <row r="28" spans="5:14" x14ac:dyDescent="0.25">
      <c r="E28" s="7" t="s">
        <v>28</v>
      </c>
      <c r="F28" s="71">
        <v>10500</v>
      </c>
      <c r="I28" s="7" t="s">
        <v>119</v>
      </c>
      <c r="J28" s="47">
        <v>7300</v>
      </c>
    </row>
    <row r="29" spans="5:14" x14ac:dyDescent="0.25">
      <c r="E29" s="7" t="s">
        <v>55</v>
      </c>
      <c r="F29" s="71">
        <v>33400</v>
      </c>
      <c r="I29" s="7" t="s">
        <v>178</v>
      </c>
      <c r="J29" s="47">
        <v>7280</v>
      </c>
    </row>
    <row r="30" spans="5:14" x14ac:dyDescent="0.25">
      <c r="E30" s="7" t="s">
        <v>196</v>
      </c>
      <c r="F30" s="71">
        <v>622458.24242424243</v>
      </c>
      <c r="I30" s="7" t="s">
        <v>103</v>
      </c>
      <c r="J30" s="47">
        <v>7260</v>
      </c>
    </row>
    <row r="31" spans="5:14" x14ac:dyDescent="0.25">
      <c r="I31" s="7" t="s">
        <v>230</v>
      </c>
      <c r="J31" s="47">
        <v>7200</v>
      </c>
    </row>
    <row r="32" spans="5:14" x14ac:dyDescent="0.25">
      <c r="I32" s="7" t="s">
        <v>211</v>
      </c>
      <c r="J32" s="47">
        <v>7200</v>
      </c>
    </row>
    <row r="33" spans="9:10" x14ac:dyDescent="0.25">
      <c r="I33" s="7" t="s">
        <v>104</v>
      </c>
      <c r="J33" s="47">
        <v>7000</v>
      </c>
    </row>
    <row r="34" spans="9:10" x14ac:dyDescent="0.25">
      <c r="I34" s="7" t="s">
        <v>184</v>
      </c>
      <c r="J34" s="47">
        <v>6800</v>
      </c>
    </row>
    <row r="35" spans="9:10" x14ac:dyDescent="0.25">
      <c r="I35" s="7" t="s">
        <v>258</v>
      </c>
      <c r="J35" s="47">
        <v>6750</v>
      </c>
    </row>
    <row r="36" spans="9:10" x14ac:dyDescent="0.25">
      <c r="I36" s="7" t="s">
        <v>92</v>
      </c>
      <c r="J36" s="47">
        <v>6650</v>
      </c>
    </row>
    <row r="37" spans="9:10" x14ac:dyDescent="0.25">
      <c r="I37" s="7" t="s">
        <v>188</v>
      </c>
      <c r="J37" s="47">
        <v>6600</v>
      </c>
    </row>
    <row r="38" spans="9:10" x14ac:dyDescent="0.25">
      <c r="I38" s="7" t="s">
        <v>110</v>
      </c>
      <c r="J38" s="47">
        <v>6600</v>
      </c>
    </row>
    <row r="39" spans="9:10" x14ac:dyDescent="0.25">
      <c r="I39" s="7" t="s">
        <v>156</v>
      </c>
      <c r="J39" s="47">
        <v>6600</v>
      </c>
    </row>
    <row r="40" spans="9:10" x14ac:dyDescent="0.25">
      <c r="I40" s="7" t="s">
        <v>148</v>
      </c>
      <c r="J40" s="47">
        <v>6500</v>
      </c>
    </row>
    <row r="41" spans="9:10" x14ac:dyDescent="0.25">
      <c r="I41" s="7" t="s">
        <v>96</v>
      </c>
      <c r="J41" s="47">
        <v>6400</v>
      </c>
    </row>
    <row r="42" spans="9:10" x14ac:dyDescent="0.25">
      <c r="I42" s="7" t="s">
        <v>129</v>
      </c>
      <c r="J42" s="47">
        <v>6400</v>
      </c>
    </row>
    <row r="43" spans="9:10" x14ac:dyDescent="0.25">
      <c r="I43" s="7" t="s">
        <v>139</v>
      </c>
      <c r="J43" s="47">
        <v>6400</v>
      </c>
    </row>
    <row r="44" spans="9:10" x14ac:dyDescent="0.25">
      <c r="I44" s="7" t="s">
        <v>166</v>
      </c>
      <c r="J44" s="47">
        <v>6300</v>
      </c>
    </row>
    <row r="45" spans="9:10" x14ac:dyDescent="0.25">
      <c r="I45" s="7" t="s">
        <v>124</v>
      </c>
      <c r="J45" s="47">
        <v>6004</v>
      </c>
    </row>
    <row r="46" spans="9:10" x14ac:dyDescent="0.25">
      <c r="I46" s="7" t="s">
        <v>229</v>
      </c>
      <c r="J46" s="47">
        <v>6000</v>
      </c>
    </row>
    <row r="47" spans="9:10" x14ac:dyDescent="0.25">
      <c r="I47" s="7" t="s">
        <v>98</v>
      </c>
      <c r="J47" s="47">
        <v>6000</v>
      </c>
    </row>
    <row r="48" spans="9:10" x14ac:dyDescent="0.25">
      <c r="I48" s="7" t="s">
        <v>189</v>
      </c>
      <c r="J48" s="47">
        <v>6000</v>
      </c>
    </row>
    <row r="49" spans="9:10" x14ac:dyDescent="0.25">
      <c r="I49" s="7" t="s">
        <v>125</v>
      </c>
      <c r="J49" s="47">
        <v>6000</v>
      </c>
    </row>
    <row r="50" spans="9:10" x14ac:dyDescent="0.25">
      <c r="I50" s="7" t="s">
        <v>179</v>
      </c>
      <c r="J50" s="47">
        <v>5800</v>
      </c>
    </row>
    <row r="51" spans="9:10" x14ac:dyDescent="0.25">
      <c r="I51" s="7" t="s">
        <v>158</v>
      </c>
      <c r="J51" s="47">
        <v>5602</v>
      </c>
    </row>
    <row r="52" spans="9:10" x14ac:dyDescent="0.25">
      <c r="I52" s="7" t="s">
        <v>257</v>
      </c>
      <c r="J52" s="47">
        <v>5500</v>
      </c>
    </row>
    <row r="53" spans="9:10" x14ac:dyDescent="0.25">
      <c r="I53" s="7" t="s">
        <v>107</v>
      </c>
      <c r="J53" s="47">
        <v>5400</v>
      </c>
    </row>
    <row r="54" spans="9:10" x14ac:dyDescent="0.25">
      <c r="I54" s="7" t="s">
        <v>118</v>
      </c>
      <c r="J54" s="47">
        <v>5400</v>
      </c>
    </row>
    <row r="55" spans="9:10" x14ac:dyDescent="0.25">
      <c r="I55" s="7" t="s">
        <v>91</v>
      </c>
      <c r="J55" s="47">
        <v>5002</v>
      </c>
    </row>
    <row r="56" spans="9:10" x14ac:dyDescent="0.25">
      <c r="I56" s="7" t="s">
        <v>109</v>
      </c>
      <c r="J56" s="47">
        <v>5000</v>
      </c>
    </row>
    <row r="57" spans="9:10" x14ac:dyDescent="0.25">
      <c r="I57" s="7" t="s">
        <v>120</v>
      </c>
      <c r="J57" s="47">
        <v>4900</v>
      </c>
    </row>
    <row r="58" spans="9:10" x14ac:dyDescent="0.25">
      <c r="I58" s="7" t="s">
        <v>145</v>
      </c>
      <c r="J58" s="47">
        <v>4800</v>
      </c>
    </row>
    <row r="59" spans="9:10" x14ac:dyDescent="0.25">
      <c r="I59" s="7" t="s">
        <v>116</v>
      </c>
      <c r="J59" s="47">
        <v>4779.9999999999973</v>
      </c>
    </row>
    <row r="60" spans="9:10" x14ac:dyDescent="0.25">
      <c r="I60" s="7" t="s">
        <v>167</v>
      </c>
      <c r="J60" s="47">
        <v>4500</v>
      </c>
    </row>
    <row r="61" spans="9:10" x14ac:dyDescent="0.25">
      <c r="I61" s="7" t="s">
        <v>216</v>
      </c>
      <c r="J61" s="47">
        <v>4500</v>
      </c>
    </row>
    <row r="62" spans="9:10" x14ac:dyDescent="0.25">
      <c r="I62" s="7" t="s">
        <v>180</v>
      </c>
      <c r="J62" s="47">
        <v>4300</v>
      </c>
    </row>
    <row r="63" spans="9:10" x14ac:dyDescent="0.25">
      <c r="I63" s="7" t="s">
        <v>100</v>
      </c>
      <c r="J63" s="47">
        <v>4100</v>
      </c>
    </row>
    <row r="64" spans="9:10" x14ac:dyDescent="0.25">
      <c r="I64" s="7" t="s">
        <v>182</v>
      </c>
      <c r="J64" s="47">
        <v>4100</v>
      </c>
    </row>
    <row r="65" spans="9:10" x14ac:dyDescent="0.25">
      <c r="I65" s="7" t="s">
        <v>136</v>
      </c>
      <c r="J65" s="47">
        <v>4100</v>
      </c>
    </row>
    <row r="66" spans="9:10" x14ac:dyDescent="0.25">
      <c r="I66" s="7" t="s">
        <v>149</v>
      </c>
      <c r="J66" s="47">
        <v>4000</v>
      </c>
    </row>
    <row r="67" spans="9:10" x14ac:dyDescent="0.25">
      <c r="I67" s="7" t="s">
        <v>237</v>
      </c>
      <c r="J67" s="47">
        <v>3900</v>
      </c>
    </row>
    <row r="68" spans="9:10" x14ac:dyDescent="0.25">
      <c r="I68" s="7" t="s">
        <v>97</v>
      </c>
      <c r="J68" s="47">
        <v>3900</v>
      </c>
    </row>
    <row r="69" spans="9:10" x14ac:dyDescent="0.25">
      <c r="I69" s="7" t="s">
        <v>151</v>
      </c>
      <c r="J69" s="47">
        <v>3850</v>
      </c>
    </row>
    <row r="70" spans="9:10" x14ac:dyDescent="0.25">
      <c r="I70" s="7" t="s">
        <v>233</v>
      </c>
      <c r="J70" s="47">
        <v>3700</v>
      </c>
    </row>
    <row r="71" spans="9:10" x14ac:dyDescent="0.25">
      <c r="I71" s="7" t="s">
        <v>141</v>
      </c>
      <c r="J71" s="47">
        <v>3600</v>
      </c>
    </row>
    <row r="72" spans="9:10" x14ac:dyDescent="0.25">
      <c r="I72" s="7" t="s">
        <v>170</v>
      </c>
      <c r="J72" s="47">
        <v>3600</v>
      </c>
    </row>
    <row r="73" spans="9:10" x14ac:dyDescent="0.25">
      <c r="I73" s="7" t="s">
        <v>177</v>
      </c>
      <c r="J73" s="47">
        <v>3500</v>
      </c>
    </row>
    <row r="74" spans="9:10" x14ac:dyDescent="0.25">
      <c r="I74" s="7" t="s">
        <v>122</v>
      </c>
      <c r="J74" s="47">
        <v>3460</v>
      </c>
    </row>
    <row r="75" spans="9:10" x14ac:dyDescent="0.25">
      <c r="I75" s="7" t="s">
        <v>105</v>
      </c>
      <c r="J75" s="47">
        <v>3400</v>
      </c>
    </row>
    <row r="76" spans="9:10" x14ac:dyDescent="0.25">
      <c r="I76" s="7" t="s">
        <v>101</v>
      </c>
      <c r="J76" s="47">
        <v>3400</v>
      </c>
    </row>
    <row r="77" spans="9:10" x14ac:dyDescent="0.25">
      <c r="I77" s="7" t="s">
        <v>171</v>
      </c>
      <c r="J77" s="47">
        <v>3400</v>
      </c>
    </row>
    <row r="78" spans="9:10" x14ac:dyDescent="0.25">
      <c r="I78" s="7" t="s">
        <v>94</v>
      </c>
      <c r="J78" s="47">
        <v>3360</v>
      </c>
    </row>
    <row r="79" spans="9:10" x14ac:dyDescent="0.25">
      <c r="I79" s="7" t="s">
        <v>135</v>
      </c>
      <c r="J79" s="47">
        <v>3300</v>
      </c>
    </row>
    <row r="80" spans="9:10" x14ac:dyDescent="0.25">
      <c r="I80" s="7" t="s">
        <v>123</v>
      </c>
      <c r="J80" s="47">
        <v>3300</v>
      </c>
    </row>
    <row r="81" spans="9:10" x14ac:dyDescent="0.25">
      <c r="I81" s="7" t="s">
        <v>228</v>
      </c>
      <c r="J81" s="47">
        <v>3200</v>
      </c>
    </row>
    <row r="82" spans="9:10" x14ac:dyDescent="0.25">
      <c r="I82" s="7" t="s">
        <v>164</v>
      </c>
      <c r="J82" s="47">
        <v>3200</v>
      </c>
    </row>
    <row r="83" spans="9:10" x14ac:dyDescent="0.25">
      <c r="I83" s="7" t="s">
        <v>183</v>
      </c>
      <c r="J83" s="47">
        <v>3150</v>
      </c>
    </row>
    <row r="84" spans="9:10" x14ac:dyDescent="0.25">
      <c r="I84" s="7" t="s">
        <v>131</v>
      </c>
      <c r="J84" s="47">
        <v>3000</v>
      </c>
    </row>
    <row r="85" spans="9:10" x14ac:dyDescent="0.25">
      <c r="I85" s="7" t="s">
        <v>209</v>
      </c>
      <c r="J85" s="47">
        <v>3000</v>
      </c>
    </row>
    <row r="86" spans="9:10" x14ac:dyDescent="0.25">
      <c r="I86" s="7" t="s">
        <v>173</v>
      </c>
      <c r="J86" s="47">
        <v>3000</v>
      </c>
    </row>
    <row r="87" spans="9:10" x14ac:dyDescent="0.25">
      <c r="I87" s="7" t="s">
        <v>217</v>
      </c>
      <c r="J87" s="47">
        <v>3000</v>
      </c>
    </row>
    <row r="88" spans="9:10" x14ac:dyDescent="0.25">
      <c r="I88" s="7" t="s">
        <v>267</v>
      </c>
      <c r="J88" s="47">
        <v>3000</v>
      </c>
    </row>
    <row r="89" spans="9:10" x14ac:dyDescent="0.25">
      <c r="I89" s="7" t="s">
        <v>163</v>
      </c>
      <c r="J89" s="47">
        <v>2946.0606060606078</v>
      </c>
    </row>
    <row r="90" spans="9:10" x14ac:dyDescent="0.25">
      <c r="I90" s="7" t="s">
        <v>256</v>
      </c>
      <c r="J90" s="47">
        <v>2800</v>
      </c>
    </row>
    <row r="91" spans="9:10" x14ac:dyDescent="0.25">
      <c r="I91" s="7" t="s">
        <v>238</v>
      </c>
      <c r="J91" s="47">
        <v>2800</v>
      </c>
    </row>
    <row r="92" spans="9:10" x14ac:dyDescent="0.25">
      <c r="I92" s="7" t="s">
        <v>225</v>
      </c>
      <c r="J92" s="47">
        <v>2738.1818181818157</v>
      </c>
    </row>
    <row r="93" spans="9:10" x14ac:dyDescent="0.25">
      <c r="I93" s="7" t="s">
        <v>187</v>
      </c>
      <c r="J93" s="47">
        <v>2600</v>
      </c>
    </row>
    <row r="94" spans="9:10" x14ac:dyDescent="0.25">
      <c r="I94" s="7" t="s">
        <v>154</v>
      </c>
      <c r="J94" s="47">
        <v>2500</v>
      </c>
    </row>
    <row r="95" spans="9:10" x14ac:dyDescent="0.25">
      <c r="I95" s="7" t="s">
        <v>144</v>
      </c>
      <c r="J95" s="47">
        <v>2400</v>
      </c>
    </row>
    <row r="96" spans="9:10" x14ac:dyDescent="0.25">
      <c r="I96" s="7" t="s">
        <v>221</v>
      </c>
      <c r="J96" s="47">
        <v>2250</v>
      </c>
    </row>
    <row r="97" spans="9:10" x14ac:dyDescent="0.25">
      <c r="I97" s="7" t="s">
        <v>236</v>
      </c>
      <c r="J97" s="47">
        <v>2240</v>
      </c>
    </row>
    <row r="98" spans="9:10" x14ac:dyDescent="0.25">
      <c r="I98" s="7" t="s">
        <v>218</v>
      </c>
      <c r="J98" s="47">
        <v>2100</v>
      </c>
    </row>
    <row r="99" spans="9:10" x14ac:dyDescent="0.25">
      <c r="I99" s="7" t="s">
        <v>244</v>
      </c>
      <c r="J99" s="47">
        <v>2002</v>
      </c>
    </row>
    <row r="100" spans="9:10" x14ac:dyDescent="0.25">
      <c r="I100" s="7" t="s">
        <v>113</v>
      </c>
      <c r="J100" s="47">
        <v>2000</v>
      </c>
    </row>
    <row r="101" spans="9:10" x14ac:dyDescent="0.25">
      <c r="I101" s="7" t="s">
        <v>214</v>
      </c>
      <c r="J101" s="47">
        <v>2000</v>
      </c>
    </row>
    <row r="102" spans="9:10" x14ac:dyDescent="0.25">
      <c r="I102" s="7" t="s">
        <v>232</v>
      </c>
      <c r="J102" s="47">
        <v>1800</v>
      </c>
    </row>
    <row r="103" spans="9:10" x14ac:dyDescent="0.25">
      <c r="I103" s="7" t="s">
        <v>162</v>
      </c>
      <c r="J103" s="47">
        <v>1700</v>
      </c>
    </row>
    <row r="104" spans="9:10" x14ac:dyDescent="0.25">
      <c r="I104" s="7" t="s">
        <v>241</v>
      </c>
      <c r="J104" s="47">
        <v>1700</v>
      </c>
    </row>
    <row r="105" spans="9:10" x14ac:dyDescent="0.25">
      <c r="I105" s="7" t="s">
        <v>250</v>
      </c>
      <c r="J105" s="47">
        <v>1600</v>
      </c>
    </row>
    <row r="106" spans="9:10" x14ac:dyDescent="0.25">
      <c r="I106" s="7" t="s">
        <v>219</v>
      </c>
      <c r="J106" s="47">
        <v>1600</v>
      </c>
    </row>
    <row r="107" spans="9:10" x14ac:dyDescent="0.25">
      <c r="I107" s="7" t="s">
        <v>174</v>
      </c>
      <c r="J107" s="47">
        <v>1600</v>
      </c>
    </row>
    <row r="108" spans="9:10" x14ac:dyDescent="0.25">
      <c r="I108" s="7" t="s">
        <v>114</v>
      </c>
      <c r="J108" s="47">
        <v>1500</v>
      </c>
    </row>
    <row r="109" spans="9:10" x14ac:dyDescent="0.25">
      <c r="I109" s="7" t="s">
        <v>212</v>
      </c>
      <c r="J109" s="47">
        <v>1500</v>
      </c>
    </row>
    <row r="110" spans="9:10" x14ac:dyDescent="0.25">
      <c r="I110" s="7" t="s">
        <v>234</v>
      </c>
      <c r="J110" s="47">
        <v>1400</v>
      </c>
    </row>
    <row r="111" spans="9:10" x14ac:dyDescent="0.25">
      <c r="I111" s="7" t="s">
        <v>160</v>
      </c>
      <c r="J111" s="47">
        <v>1400</v>
      </c>
    </row>
    <row r="112" spans="9:10" x14ac:dyDescent="0.25">
      <c r="I112" s="7" t="s">
        <v>231</v>
      </c>
      <c r="J112" s="47">
        <v>1280</v>
      </c>
    </row>
    <row r="113" spans="9:10" x14ac:dyDescent="0.25">
      <c r="I113" s="7" t="s">
        <v>172</v>
      </c>
      <c r="J113" s="47">
        <v>1280</v>
      </c>
    </row>
    <row r="114" spans="9:10" x14ac:dyDescent="0.25">
      <c r="I114" s="7" t="s">
        <v>227</v>
      </c>
      <c r="J114" s="47">
        <v>1236.3636363636401</v>
      </c>
    </row>
    <row r="115" spans="9:10" x14ac:dyDescent="0.25">
      <c r="I115" s="7" t="s">
        <v>226</v>
      </c>
      <c r="J115" s="47">
        <v>1231.515151515152</v>
      </c>
    </row>
    <row r="116" spans="9:10" x14ac:dyDescent="0.25">
      <c r="I116" s="7" t="s">
        <v>220</v>
      </c>
      <c r="J116" s="47">
        <v>1200</v>
      </c>
    </row>
    <row r="117" spans="9:10" x14ac:dyDescent="0.25">
      <c r="I117" s="7" t="s">
        <v>254</v>
      </c>
      <c r="J117" s="47">
        <v>1120</v>
      </c>
    </row>
    <row r="118" spans="9:10" x14ac:dyDescent="0.25">
      <c r="I118" s="7" t="s">
        <v>111</v>
      </c>
      <c r="J118" s="47">
        <v>1100</v>
      </c>
    </row>
    <row r="119" spans="9:10" x14ac:dyDescent="0.25">
      <c r="I119" s="7" t="s">
        <v>147</v>
      </c>
      <c r="J119" s="47">
        <v>1000</v>
      </c>
    </row>
    <row r="120" spans="9:10" x14ac:dyDescent="0.25">
      <c r="I120" s="7" t="s">
        <v>134</v>
      </c>
      <c r="J120" s="47">
        <v>1000</v>
      </c>
    </row>
    <row r="121" spans="9:10" x14ac:dyDescent="0.25">
      <c r="I121" s="7" t="s">
        <v>235</v>
      </c>
      <c r="J121" s="47">
        <v>1000</v>
      </c>
    </row>
    <row r="122" spans="9:10" x14ac:dyDescent="0.25">
      <c r="I122" s="7" t="s">
        <v>255</v>
      </c>
      <c r="J122" s="47">
        <v>1000</v>
      </c>
    </row>
    <row r="123" spans="9:10" x14ac:dyDescent="0.25">
      <c r="I123" s="7" t="s">
        <v>243</v>
      </c>
      <c r="J123" s="47">
        <v>1000</v>
      </c>
    </row>
    <row r="124" spans="9:10" x14ac:dyDescent="0.25">
      <c r="I124" s="7" t="s">
        <v>146</v>
      </c>
      <c r="J124" s="47">
        <v>1000</v>
      </c>
    </row>
    <row r="125" spans="9:10" x14ac:dyDescent="0.25">
      <c r="I125" s="7" t="s">
        <v>185</v>
      </c>
      <c r="J125" s="47">
        <v>1000</v>
      </c>
    </row>
    <row r="126" spans="9:10" x14ac:dyDescent="0.25">
      <c r="I126" s="7" t="s">
        <v>150</v>
      </c>
      <c r="J126" s="47">
        <v>800</v>
      </c>
    </row>
    <row r="127" spans="9:10" x14ac:dyDescent="0.25">
      <c r="I127" s="7" t="s">
        <v>140</v>
      </c>
      <c r="J127" s="47">
        <v>800</v>
      </c>
    </row>
    <row r="128" spans="9:10" x14ac:dyDescent="0.25">
      <c r="I128" s="7" t="s">
        <v>153</v>
      </c>
      <c r="J128" s="47">
        <v>800</v>
      </c>
    </row>
    <row r="129" spans="9:10" x14ac:dyDescent="0.25">
      <c r="I129" s="7" t="s">
        <v>213</v>
      </c>
      <c r="J129" s="47">
        <v>800</v>
      </c>
    </row>
    <row r="130" spans="9:10" x14ac:dyDescent="0.25">
      <c r="I130" s="7" t="s">
        <v>152</v>
      </c>
      <c r="J130" s="47">
        <v>800</v>
      </c>
    </row>
    <row r="131" spans="9:10" x14ac:dyDescent="0.25">
      <c r="I131" s="7" t="s">
        <v>239</v>
      </c>
      <c r="J131" s="47">
        <v>700</v>
      </c>
    </row>
    <row r="132" spans="9:10" x14ac:dyDescent="0.25">
      <c r="I132" s="7" t="s">
        <v>115</v>
      </c>
      <c r="J132" s="47">
        <v>560</v>
      </c>
    </row>
    <row r="133" spans="9:10" x14ac:dyDescent="0.25">
      <c r="I133" s="7" t="s">
        <v>161</v>
      </c>
      <c r="J133" s="47">
        <v>560</v>
      </c>
    </row>
    <row r="134" spans="9:10" x14ac:dyDescent="0.25">
      <c r="I134" s="7" t="s">
        <v>253</v>
      </c>
      <c r="J134" s="47">
        <v>500</v>
      </c>
    </row>
    <row r="135" spans="9:10" x14ac:dyDescent="0.25">
      <c r="I135" s="7" t="s">
        <v>263</v>
      </c>
      <c r="J135" s="47">
        <v>500</v>
      </c>
    </row>
    <row r="136" spans="9:10" x14ac:dyDescent="0.25">
      <c r="I136" s="7" t="s">
        <v>157</v>
      </c>
      <c r="J136" s="47">
        <v>500</v>
      </c>
    </row>
    <row r="137" spans="9:10" x14ac:dyDescent="0.25">
      <c r="I137" s="7" t="s">
        <v>224</v>
      </c>
      <c r="J137" s="47">
        <v>454.54545454545598</v>
      </c>
    </row>
    <row r="138" spans="9:10" x14ac:dyDescent="0.25">
      <c r="I138" s="7" t="s">
        <v>245</v>
      </c>
      <c r="J138" s="47">
        <v>400</v>
      </c>
    </row>
    <row r="139" spans="9:10" x14ac:dyDescent="0.25">
      <c r="I139" s="7" t="s">
        <v>126</v>
      </c>
      <c r="J139" s="47">
        <v>400</v>
      </c>
    </row>
    <row r="140" spans="9:10" x14ac:dyDescent="0.25">
      <c r="I140" s="7" t="s">
        <v>159</v>
      </c>
      <c r="J140" s="47">
        <v>400</v>
      </c>
    </row>
    <row r="141" spans="9:10" x14ac:dyDescent="0.25">
      <c r="I141" s="7" t="s">
        <v>165</v>
      </c>
      <c r="J141" s="47">
        <v>400</v>
      </c>
    </row>
    <row r="142" spans="9:10" x14ac:dyDescent="0.25">
      <c r="I142" s="7" t="s">
        <v>240</v>
      </c>
      <c r="J142" s="47">
        <v>400</v>
      </c>
    </row>
    <row r="143" spans="9:10" x14ac:dyDescent="0.25">
      <c r="I143" s="7" t="s">
        <v>130</v>
      </c>
      <c r="J143" s="47">
        <v>300</v>
      </c>
    </row>
    <row r="144" spans="9:10" x14ac:dyDescent="0.25">
      <c r="I144" s="7" t="s">
        <v>186</v>
      </c>
      <c r="J144" s="47">
        <v>280</v>
      </c>
    </row>
    <row r="145" spans="9:10" x14ac:dyDescent="0.25">
      <c r="I145" s="7" t="s">
        <v>222</v>
      </c>
      <c r="J145" s="47">
        <v>280</v>
      </c>
    </row>
    <row r="146" spans="9:10" x14ac:dyDescent="0.25">
      <c r="I146" s="7" t="s">
        <v>252</v>
      </c>
      <c r="J146" s="47">
        <v>250</v>
      </c>
    </row>
    <row r="147" spans="9:10" x14ac:dyDescent="0.25">
      <c r="I147" s="7" t="s">
        <v>196</v>
      </c>
      <c r="J147" s="47">
        <v>622458.24242424243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2EAC-4842-4106-B775-7CF80198B988}">
  <sheetPr codeName="Sheet7"/>
  <dimension ref="A4:X2985"/>
  <sheetViews>
    <sheetView tabSelected="1" zoomScale="96" zoomScaleNormal="96" workbookViewId="0">
      <extLst>
        <ext xmlns:xlsdti="http://schemas.microsoft.com/office/spreadsheetml/2023/showDataTypeIcons" uri="{77bfe23e-c014-4d31-8a63-9c772dbf06b6}">
          <xlsdti:showDataTypeIcons visible="0"/>
        </ext>
      </extLst>
    </sheetView>
  </sheetViews>
  <sheetFormatPr defaultRowHeight="15" x14ac:dyDescent="0.25"/>
  <cols>
    <col min="1" max="1" width="20" style="50" bestFit="1" customWidth="1"/>
    <col min="2" max="2" width="11.5703125" style="50" bestFit="1" customWidth="1"/>
    <col min="3" max="16" width="9.140625" style="50"/>
    <col min="17" max="17" width="6.85546875" style="50" customWidth="1"/>
    <col min="18" max="18" width="9.140625" style="50"/>
    <col min="19" max="19" width="12.7109375" style="50" customWidth="1"/>
    <col min="20" max="20" width="4.28515625" style="50" customWidth="1"/>
    <col min="21" max="27" width="9.140625" style="50"/>
    <col min="28" max="28" width="20.5703125" style="50" customWidth="1"/>
    <col min="29" max="29" width="6.85546875" style="50" customWidth="1"/>
    <col min="30" max="79" width="0" style="50" hidden="1" customWidth="1"/>
    <col min="80" max="16384" width="9.140625" style="50"/>
  </cols>
  <sheetData>
    <row r="4" ht="1.5" customHeight="1" x14ac:dyDescent="0.25"/>
    <row r="5" hidden="1" x14ac:dyDescent="0.25"/>
    <row r="6" hidden="1" x14ac:dyDescent="0.25"/>
    <row r="7" hidden="1" x14ac:dyDescent="0.25"/>
    <row r="8" hidden="1" x14ac:dyDescent="0.25"/>
    <row r="27" spans="5:24" ht="15.75" x14ac:dyDescent="0.25">
      <c r="T27" s="51" t="s">
        <v>268</v>
      </c>
      <c r="U27" s="52"/>
      <c r="V27" s="52"/>
      <c r="W27" s="52"/>
      <c r="X27" s="52"/>
    </row>
    <row r="31" spans="5:24" ht="15.75" x14ac:dyDescent="0.25">
      <c r="E31" s="53"/>
      <c r="I31" s="51" t="s">
        <v>269</v>
      </c>
      <c r="J31" s="52"/>
      <c r="K31" s="52"/>
      <c r="L31" s="52"/>
      <c r="M31" s="52"/>
      <c r="N31" s="52"/>
    </row>
    <row r="33" spans="1:2" x14ac:dyDescent="0.25">
      <c r="A33" s="55" t="s">
        <v>270</v>
      </c>
      <c r="B33" s="72" t="s">
        <v>195</v>
      </c>
    </row>
    <row r="34" spans="1:2" x14ac:dyDescent="0.25">
      <c r="A34" s="56" t="s">
        <v>112</v>
      </c>
      <c r="B34" s="54">
        <v>17700</v>
      </c>
    </row>
    <row r="35" spans="1:2" x14ac:dyDescent="0.25">
      <c r="A35" s="56" t="s">
        <v>128</v>
      </c>
      <c r="B35" s="54">
        <v>13500</v>
      </c>
    </row>
    <row r="36" spans="1:2" x14ac:dyDescent="0.25">
      <c r="A36" s="56" t="s">
        <v>133</v>
      </c>
      <c r="B36" s="54">
        <v>13100</v>
      </c>
    </row>
    <row r="37" spans="1:2" x14ac:dyDescent="0.25">
      <c r="A37" s="56" t="s">
        <v>90</v>
      </c>
      <c r="B37" s="54">
        <v>13010</v>
      </c>
    </row>
    <row r="38" spans="1:2" x14ac:dyDescent="0.25">
      <c r="A38" s="56" t="s">
        <v>93</v>
      </c>
      <c r="B38" s="54">
        <v>11502</v>
      </c>
    </row>
    <row r="39" spans="1:2" x14ac:dyDescent="0.25">
      <c r="A39" s="56" t="s">
        <v>106</v>
      </c>
      <c r="B39" s="54">
        <v>10908.484848484848</v>
      </c>
    </row>
    <row r="40" spans="1:2" x14ac:dyDescent="0.25">
      <c r="A40" s="56" t="s">
        <v>142</v>
      </c>
      <c r="B40" s="54">
        <v>10000</v>
      </c>
    </row>
    <row r="41" spans="1:2" x14ac:dyDescent="0.25">
      <c r="A41" s="56" t="s">
        <v>99</v>
      </c>
      <c r="B41" s="54">
        <v>9900</v>
      </c>
    </row>
    <row r="42" spans="1:2" x14ac:dyDescent="0.25">
      <c r="A42" s="56" t="s">
        <v>121</v>
      </c>
      <c r="B42" s="54">
        <v>9400</v>
      </c>
    </row>
    <row r="43" spans="1:2" hidden="1" x14ac:dyDescent="0.25">
      <c r="A43" s="7" t="s">
        <v>102</v>
      </c>
      <c r="B43" s="47">
        <v>9150</v>
      </c>
    </row>
    <row r="44" spans="1:2" hidden="1" x14ac:dyDescent="0.25">
      <c r="A44" s="7" t="s">
        <v>196</v>
      </c>
      <c r="B44" s="47">
        <v>118170.48484848485</v>
      </c>
    </row>
    <row r="45" spans="1:2" ht="133.5" customHeight="1" x14ac:dyDescent="0.25"/>
    <row r="46" spans="1:2" hidden="1" x14ac:dyDescent="0.25"/>
    <row r="47" spans="1:2" hidden="1" x14ac:dyDescent="0.25"/>
    <row r="48" spans="1:2"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hidden="1" x14ac:dyDescent="0.25"/>
    <row r="64"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hidden="1" x14ac:dyDescent="0.25"/>
    <row r="786" hidden="1" x14ac:dyDescent="0.25"/>
    <row r="787" hidden="1" x14ac:dyDescent="0.25"/>
    <row r="788" hidden="1" x14ac:dyDescent="0.25"/>
    <row r="789" hidden="1" x14ac:dyDescent="0.25"/>
    <row r="790" hidden="1" x14ac:dyDescent="0.25"/>
    <row r="791" hidden="1" x14ac:dyDescent="0.25"/>
    <row r="792" hidden="1" x14ac:dyDescent="0.25"/>
    <row r="793" hidden="1" x14ac:dyDescent="0.25"/>
    <row r="794" hidden="1" x14ac:dyDescent="0.25"/>
    <row r="795" hidden="1" x14ac:dyDescent="0.25"/>
    <row r="796" hidden="1" x14ac:dyDescent="0.25"/>
    <row r="797" hidden="1" x14ac:dyDescent="0.25"/>
    <row r="798" hidden="1" x14ac:dyDescent="0.25"/>
    <row r="799" hidden="1" x14ac:dyDescent="0.25"/>
    <row r="800" hidden="1" x14ac:dyDescent="0.25"/>
    <row r="801" hidden="1" x14ac:dyDescent="0.25"/>
    <row r="802" hidden="1" x14ac:dyDescent="0.25"/>
    <row r="803" hidden="1" x14ac:dyDescent="0.25"/>
    <row r="804" hidden="1" x14ac:dyDescent="0.25"/>
    <row r="805" hidden="1" x14ac:dyDescent="0.25"/>
    <row r="806" hidden="1" x14ac:dyDescent="0.25"/>
    <row r="807" hidden="1" x14ac:dyDescent="0.25"/>
    <row r="808" hidden="1" x14ac:dyDescent="0.25"/>
    <row r="809" hidden="1" x14ac:dyDescent="0.25"/>
    <row r="810" hidden="1" x14ac:dyDescent="0.25"/>
    <row r="811" hidden="1" x14ac:dyDescent="0.25"/>
    <row r="812" hidden="1" x14ac:dyDescent="0.25"/>
    <row r="813" hidden="1" x14ac:dyDescent="0.25"/>
    <row r="814" hidden="1" x14ac:dyDescent="0.25"/>
    <row r="815" hidden="1" x14ac:dyDescent="0.25"/>
    <row r="816"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hidden="1" x14ac:dyDescent="0.25"/>
    <row r="834" hidden="1" x14ac:dyDescent="0.25"/>
    <row r="835" hidden="1" x14ac:dyDescent="0.25"/>
    <row r="836" hidden="1" x14ac:dyDescent="0.25"/>
    <row r="837" hidden="1" x14ac:dyDescent="0.25"/>
    <row r="838" hidden="1" x14ac:dyDescent="0.25"/>
    <row r="839" hidden="1" x14ac:dyDescent="0.25"/>
    <row r="840" hidden="1" x14ac:dyDescent="0.25"/>
    <row r="841" hidden="1" x14ac:dyDescent="0.25"/>
    <row r="842" hidden="1" x14ac:dyDescent="0.25"/>
    <row r="843" hidden="1" x14ac:dyDescent="0.25"/>
    <row r="844" hidden="1" x14ac:dyDescent="0.25"/>
    <row r="845" hidden="1" x14ac:dyDescent="0.25"/>
    <row r="846" hidden="1" x14ac:dyDescent="0.25"/>
    <row r="847" hidden="1" x14ac:dyDescent="0.25"/>
    <row r="848" hidden="1" x14ac:dyDescent="0.25"/>
    <row r="849" hidden="1" x14ac:dyDescent="0.25"/>
    <row r="850" hidden="1" x14ac:dyDescent="0.25"/>
    <row r="851" hidden="1" x14ac:dyDescent="0.25"/>
    <row r="852" hidden="1" x14ac:dyDescent="0.25"/>
    <row r="853" hidden="1" x14ac:dyDescent="0.25"/>
    <row r="854" hidden="1" x14ac:dyDescent="0.25"/>
    <row r="855" hidden="1" x14ac:dyDescent="0.25"/>
    <row r="856" hidden="1" x14ac:dyDescent="0.25"/>
    <row r="857" hidden="1" x14ac:dyDescent="0.25"/>
    <row r="858" hidden="1" x14ac:dyDescent="0.25"/>
    <row r="859" hidden="1" x14ac:dyDescent="0.25"/>
    <row r="860" hidden="1" x14ac:dyDescent="0.25"/>
    <row r="861" hidden="1" x14ac:dyDescent="0.25"/>
    <row r="862" hidden="1" x14ac:dyDescent="0.25"/>
    <row r="863" hidden="1" x14ac:dyDescent="0.25"/>
    <row r="864" hidden="1" x14ac:dyDescent="0.25"/>
    <row r="865" hidden="1" x14ac:dyDescent="0.25"/>
    <row r="866" hidden="1" x14ac:dyDescent="0.25"/>
    <row r="867" hidden="1" x14ac:dyDescent="0.25"/>
    <row r="868" hidden="1" x14ac:dyDescent="0.25"/>
    <row r="869" hidden="1" x14ac:dyDescent="0.25"/>
    <row r="870" hidden="1" x14ac:dyDescent="0.25"/>
    <row r="871" hidden="1" x14ac:dyDescent="0.25"/>
    <row r="872" hidden="1" x14ac:dyDescent="0.25"/>
    <row r="873" hidden="1" x14ac:dyDescent="0.25"/>
    <row r="874" hidden="1" x14ac:dyDescent="0.25"/>
    <row r="875" hidden="1" x14ac:dyDescent="0.25"/>
    <row r="876" hidden="1" x14ac:dyDescent="0.25"/>
    <row r="877" hidden="1" x14ac:dyDescent="0.25"/>
    <row r="878" hidden="1" x14ac:dyDescent="0.25"/>
    <row r="879" hidden="1" x14ac:dyDescent="0.25"/>
    <row r="880"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hidden="1" x14ac:dyDescent="0.25"/>
    <row r="898" hidden="1" x14ac:dyDescent="0.25"/>
    <row r="899" hidden="1" x14ac:dyDescent="0.25"/>
    <row r="900" hidden="1" x14ac:dyDescent="0.25"/>
    <row r="901" hidden="1" x14ac:dyDescent="0.25"/>
    <row r="902" hidden="1" x14ac:dyDescent="0.25"/>
    <row r="903" hidden="1" x14ac:dyDescent="0.25"/>
    <row r="904" hidden="1" x14ac:dyDescent="0.25"/>
    <row r="905" hidden="1" x14ac:dyDescent="0.25"/>
    <row r="906" hidden="1" x14ac:dyDescent="0.25"/>
    <row r="907" hidden="1" x14ac:dyDescent="0.25"/>
    <row r="908" hidden="1" x14ac:dyDescent="0.25"/>
    <row r="909" hidden="1" x14ac:dyDescent="0.25"/>
    <row r="910" hidden="1" x14ac:dyDescent="0.25"/>
    <row r="911" hidden="1" x14ac:dyDescent="0.25"/>
    <row r="912" hidden="1" x14ac:dyDescent="0.25"/>
    <row r="913" hidden="1" x14ac:dyDescent="0.25"/>
    <row r="914" hidden="1" x14ac:dyDescent="0.25"/>
    <row r="915" hidden="1" x14ac:dyDescent="0.25"/>
    <row r="916" hidden="1" x14ac:dyDescent="0.25"/>
    <row r="917" hidden="1" x14ac:dyDescent="0.25"/>
    <row r="918" hidden="1" x14ac:dyDescent="0.25"/>
    <row r="919" hidden="1" x14ac:dyDescent="0.25"/>
    <row r="920" hidden="1" x14ac:dyDescent="0.25"/>
    <row r="921" hidden="1" x14ac:dyDescent="0.25"/>
    <row r="922" hidden="1" x14ac:dyDescent="0.25"/>
    <row r="923" hidden="1" x14ac:dyDescent="0.25"/>
    <row r="924" hidden="1" x14ac:dyDescent="0.25"/>
    <row r="925" hidden="1" x14ac:dyDescent="0.25"/>
    <row r="926" hidden="1" x14ac:dyDescent="0.25"/>
    <row r="927" hidden="1" x14ac:dyDescent="0.25"/>
    <row r="928" hidden="1" x14ac:dyDescent="0.25"/>
    <row r="929" hidden="1" x14ac:dyDescent="0.25"/>
    <row r="930" hidden="1" x14ac:dyDescent="0.25"/>
    <row r="931" hidden="1" x14ac:dyDescent="0.25"/>
    <row r="932" hidden="1" x14ac:dyDescent="0.25"/>
    <row r="933" hidden="1" x14ac:dyDescent="0.25"/>
    <row r="934" hidden="1" x14ac:dyDescent="0.25"/>
    <row r="935" hidden="1" x14ac:dyDescent="0.25"/>
    <row r="936" hidden="1" x14ac:dyDescent="0.25"/>
    <row r="937" hidden="1" x14ac:dyDescent="0.25"/>
    <row r="938" hidden="1" x14ac:dyDescent="0.25"/>
    <row r="939" hidden="1" x14ac:dyDescent="0.25"/>
    <row r="940" hidden="1" x14ac:dyDescent="0.25"/>
    <row r="941" hidden="1" x14ac:dyDescent="0.25"/>
    <row r="942" hidden="1" x14ac:dyDescent="0.25"/>
    <row r="943" hidden="1" x14ac:dyDescent="0.25"/>
    <row r="944" hidden="1" x14ac:dyDescent="0.25"/>
    <row r="945" hidden="1" x14ac:dyDescent="0.25"/>
    <row r="946" hidden="1" x14ac:dyDescent="0.25"/>
    <row r="947" hidden="1" x14ac:dyDescent="0.25"/>
    <row r="948" hidden="1" x14ac:dyDescent="0.25"/>
    <row r="949" hidden="1" x14ac:dyDescent="0.25"/>
    <row r="950" hidden="1" x14ac:dyDescent="0.25"/>
    <row r="951" hidden="1" x14ac:dyDescent="0.25"/>
    <row r="952" hidden="1" x14ac:dyDescent="0.25"/>
    <row r="953" hidden="1" x14ac:dyDescent="0.25"/>
    <row r="954" hidden="1" x14ac:dyDescent="0.25"/>
    <row r="955" hidden="1" x14ac:dyDescent="0.25"/>
    <row r="956" hidden="1" x14ac:dyDescent="0.25"/>
    <row r="957" hidden="1" x14ac:dyDescent="0.25"/>
    <row r="958" hidden="1" x14ac:dyDescent="0.25"/>
    <row r="959" hidden="1" x14ac:dyDescent="0.25"/>
    <row r="960" hidden="1" x14ac:dyDescent="0.25"/>
    <row r="961" hidden="1" x14ac:dyDescent="0.25"/>
    <row r="962" hidden="1" x14ac:dyDescent="0.25"/>
    <row r="963" hidden="1" x14ac:dyDescent="0.25"/>
    <row r="964" hidden="1" x14ac:dyDescent="0.25"/>
    <row r="965" hidden="1" x14ac:dyDescent="0.25"/>
    <row r="966" hidden="1" x14ac:dyDescent="0.25"/>
    <row r="967" hidden="1" x14ac:dyDescent="0.25"/>
    <row r="968" hidden="1" x14ac:dyDescent="0.25"/>
    <row r="969" hidden="1" x14ac:dyDescent="0.25"/>
    <row r="970" hidden="1" x14ac:dyDescent="0.25"/>
    <row r="971" hidden="1" x14ac:dyDescent="0.25"/>
    <row r="972" hidden="1" x14ac:dyDescent="0.25"/>
    <row r="973" hidden="1" x14ac:dyDescent="0.25"/>
    <row r="974" hidden="1" x14ac:dyDescent="0.25"/>
    <row r="975" hidden="1" x14ac:dyDescent="0.25"/>
    <row r="976" hidden="1" x14ac:dyDescent="0.25"/>
    <row r="977" hidden="1" x14ac:dyDescent="0.25"/>
    <row r="978" hidden="1" x14ac:dyDescent="0.25"/>
    <row r="979" hidden="1" x14ac:dyDescent="0.25"/>
    <row r="980" hidden="1" x14ac:dyDescent="0.25"/>
    <row r="981" hidden="1" x14ac:dyDescent="0.25"/>
    <row r="982" hidden="1" x14ac:dyDescent="0.25"/>
    <row r="983" hidden="1" x14ac:dyDescent="0.25"/>
    <row r="984" hidden="1" x14ac:dyDescent="0.25"/>
    <row r="985" hidden="1" x14ac:dyDescent="0.25"/>
    <row r="986" hidden="1" x14ac:dyDescent="0.25"/>
    <row r="987" hidden="1" x14ac:dyDescent="0.25"/>
    <row r="988" hidden="1" x14ac:dyDescent="0.25"/>
    <row r="989" hidden="1" x14ac:dyDescent="0.25"/>
    <row r="990" hidden="1" x14ac:dyDescent="0.25"/>
    <row r="991" hidden="1" x14ac:dyDescent="0.25"/>
    <row r="992" hidden="1" x14ac:dyDescent="0.25"/>
    <row r="993" hidden="1" x14ac:dyDescent="0.25"/>
    <row r="994" hidden="1" x14ac:dyDescent="0.25"/>
    <row r="995" hidden="1" x14ac:dyDescent="0.25"/>
    <row r="996" hidden="1" x14ac:dyDescent="0.25"/>
    <row r="997" hidden="1" x14ac:dyDescent="0.25"/>
    <row r="998" hidden="1" x14ac:dyDescent="0.25"/>
    <row r="999" hidden="1" x14ac:dyDescent="0.25"/>
    <row r="1000" hidden="1" x14ac:dyDescent="0.25"/>
    <row r="1001" hidden="1" x14ac:dyDescent="0.25"/>
    <row r="1002" hidden="1" x14ac:dyDescent="0.25"/>
    <row r="1003" hidden="1" x14ac:dyDescent="0.25"/>
    <row r="1004" hidden="1" x14ac:dyDescent="0.25"/>
    <row r="1005" hidden="1" x14ac:dyDescent="0.25"/>
    <row r="1006" hidden="1" x14ac:dyDescent="0.25"/>
    <row r="1007" hidden="1" x14ac:dyDescent="0.25"/>
    <row r="1008" hidden="1" x14ac:dyDescent="0.25"/>
    <row r="1009" hidden="1" x14ac:dyDescent="0.25"/>
    <row r="1010" hidden="1" x14ac:dyDescent="0.25"/>
    <row r="1011" hidden="1" x14ac:dyDescent="0.25"/>
    <row r="1012" hidden="1" x14ac:dyDescent="0.25"/>
    <row r="1013" hidden="1" x14ac:dyDescent="0.25"/>
    <row r="1014" hidden="1" x14ac:dyDescent="0.25"/>
    <row r="1015" hidden="1" x14ac:dyDescent="0.25"/>
    <row r="1016" hidden="1" x14ac:dyDescent="0.25"/>
    <row r="1017" hidden="1" x14ac:dyDescent="0.25"/>
    <row r="1018" hidden="1" x14ac:dyDescent="0.25"/>
    <row r="1019" hidden="1" x14ac:dyDescent="0.25"/>
    <row r="1020" hidden="1" x14ac:dyDescent="0.25"/>
    <row r="1021" hidden="1" x14ac:dyDescent="0.25"/>
    <row r="1022" hidden="1" x14ac:dyDescent="0.25"/>
    <row r="1023" hidden="1" x14ac:dyDescent="0.25"/>
    <row r="1024" hidden="1" x14ac:dyDescent="0.25"/>
    <row r="1025" hidden="1" x14ac:dyDescent="0.25"/>
    <row r="1026" hidden="1" x14ac:dyDescent="0.25"/>
    <row r="1027" hidden="1" x14ac:dyDescent="0.25"/>
    <row r="1028" hidden="1" x14ac:dyDescent="0.25"/>
    <row r="1029" hidden="1" x14ac:dyDescent="0.25"/>
    <row r="1030" hidden="1" x14ac:dyDescent="0.25"/>
    <row r="1031" hidden="1" x14ac:dyDescent="0.25"/>
    <row r="1032" hidden="1" x14ac:dyDescent="0.25"/>
    <row r="1033" hidden="1" x14ac:dyDescent="0.25"/>
    <row r="1034" hidden="1" x14ac:dyDescent="0.25"/>
    <row r="1035" hidden="1" x14ac:dyDescent="0.25"/>
    <row r="1036" hidden="1" x14ac:dyDescent="0.25"/>
    <row r="1037" hidden="1" x14ac:dyDescent="0.25"/>
    <row r="1038" hidden="1" x14ac:dyDescent="0.25"/>
    <row r="1039" hidden="1" x14ac:dyDescent="0.25"/>
    <row r="1040" hidden="1" x14ac:dyDescent="0.25"/>
    <row r="1041" hidden="1" x14ac:dyDescent="0.25"/>
    <row r="1042" hidden="1" x14ac:dyDescent="0.25"/>
    <row r="1043" hidden="1" x14ac:dyDescent="0.25"/>
    <row r="1044" hidden="1" x14ac:dyDescent="0.25"/>
    <row r="1045" hidden="1" x14ac:dyDescent="0.25"/>
    <row r="1046" hidden="1" x14ac:dyDescent="0.25"/>
    <row r="1047" hidden="1" x14ac:dyDescent="0.25"/>
    <row r="1048" hidden="1" x14ac:dyDescent="0.25"/>
    <row r="1049" hidden="1" x14ac:dyDescent="0.25"/>
    <row r="1050" hidden="1" x14ac:dyDescent="0.25"/>
    <row r="1051" hidden="1" x14ac:dyDescent="0.25"/>
    <row r="1052" hidden="1" x14ac:dyDescent="0.25"/>
    <row r="1053" hidden="1" x14ac:dyDescent="0.25"/>
    <row r="1054" hidden="1" x14ac:dyDescent="0.25"/>
    <row r="1055" hidden="1" x14ac:dyDescent="0.25"/>
    <row r="1056" hidden="1" x14ac:dyDescent="0.25"/>
    <row r="1057" hidden="1" x14ac:dyDescent="0.25"/>
    <row r="1058" hidden="1" x14ac:dyDescent="0.25"/>
    <row r="1059" hidden="1" x14ac:dyDescent="0.25"/>
    <row r="1060" hidden="1" x14ac:dyDescent="0.25"/>
    <row r="1061" hidden="1" x14ac:dyDescent="0.25"/>
    <row r="1062" hidden="1" x14ac:dyDescent="0.25"/>
    <row r="1063" hidden="1" x14ac:dyDescent="0.25"/>
    <row r="1064" hidden="1" x14ac:dyDescent="0.25"/>
    <row r="1065" hidden="1" x14ac:dyDescent="0.25"/>
    <row r="1066" hidden="1" x14ac:dyDescent="0.25"/>
    <row r="1067" hidden="1" x14ac:dyDescent="0.25"/>
    <row r="1068" hidden="1" x14ac:dyDescent="0.25"/>
    <row r="1069" hidden="1" x14ac:dyDescent="0.25"/>
    <row r="1070" hidden="1" x14ac:dyDescent="0.25"/>
    <row r="1071" hidden="1" x14ac:dyDescent="0.25"/>
    <row r="1072" hidden="1" x14ac:dyDescent="0.25"/>
    <row r="1073" hidden="1" x14ac:dyDescent="0.25"/>
    <row r="1074" hidden="1" x14ac:dyDescent="0.25"/>
    <row r="1075" hidden="1" x14ac:dyDescent="0.25"/>
    <row r="1076" hidden="1" x14ac:dyDescent="0.25"/>
    <row r="1077" hidden="1" x14ac:dyDescent="0.25"/>
    <row r="1078" hidden="1" x14ac:dyDescent="0.25"/>
    <row r="1079" hidden="1" x14ac:dyDescent="0.25"/>
    <row r="1080" hidden="1" x14ac:dyDescent="0.25"/>
    <row r="1081" hidden="1" x14ac:dyDescent="0.25"/>
    <row r="1082" hidden="1" x14ac:dyDescent="0.25"/>
    <row r="1083" hidden="1" x14ac:dyDescent="0.25"/>
    <row r="1084" hidden="1" x14ac:dyDescent="0.25"/>
    <row r="1085" hidden="1" x14ac:dyDescent="0.25"/>
    <row r="1086" hidden="1" x14ac:dyDescent="0.25"/>
    <row r="1087" hidden="1" x14ac:dyDescent="0.25"/>
    <row r="1088" hidden="1" x14ac:dyDescent="0.25"/>
    <row r="1089" hidden="1" x14ac:dyDescent="0.25"/>
    <row r="1090" hidden="1" x14ac:dyDescent="0.25"/>
    <row r="1091" hidden="1" x14ac:dyDescent="0.25"/>
    <row r="1092" hidden="1" x14ac:dyDescent="0.25"/>
    <row r="1093" hidden="1" x14ac:dyDescent="0.25"/>
    <row r="1094" hidden="1" x14ac:dyDescent="0.25"/>
    <row r="1095" hidden="1" x14ac:dyDescent="0.25"/>
    <row r="1096" hidden="1" x14ac:dyDescent="0.25"/>
    <row r="1097" hidden="1" x14ac:dyDescent="0.25"/>
    <row r="1098" hidden="1" x14ac:dyDescent="0.25"/>
    <row r="1099" hidden="1" x14ac:dyDescent="0.25"/>
    <row r="1100" hidden="1" x14ac:dyDescent="0.25"/>
    <row r="1101" hidden="1" x14ac:dyDescent="0.25"/>
    <row r="1102" hidden="1" x14ac:dyDescent="0.25"/>
    <row r="1103" hidden="1" x14ac:dyDescent="0.25"/>
    <row r="1104" hidden="1" x14ac:dyDescent="0.25"/>
    <row r="1105" hidden="1" x14ac:dyDescent="0.25"/>
    <row r="1106" hidden="1" x14ac:dyDescent="0.25"/>
    <row r="1107" hidden="1" x14ac:dyDescent="0.25"/>
    <row r="1108" hidden="1" x14ac:dyDescent="0.25"/>
    <row r="1109" hidden="1" x14ac:dyDescent="0.25"/>
    <row r="1110" hidden="1" x14ac:dyDescent="0.25"/>
    <row r="1111" hidden="1" x14ac:dyDescent="0.25"/>
    <row r="1112" hidden="1" x14ac:dyDescent="0.25"/>
    <row r="1113" hidden="1" x14ac:dyDescent="0.25"/>
    <row r="1114" hidden="1" x14ac:dyDescent="0.25"/>
    <row r="1115" hidden="1" x14ac:dyDescent="0.25"/>
    <row r="1116" hidden="1" x14ac:dyDescent="0.25"/>
    <row r="1117" hidden="1" x14ac:dyDescent="0.25"/>
    <row r="1118" hidden="1" x14ac:dyDescent="0.25"/>
    <row r="1119" hidden="1" x14ac:dyDescent="0.25"/>
    <row r="1120" hidden="1" x14ac:dyDescent="0.25"/>
    <row r="1121" hidden="1" x14ac:dyDescent="0.25"/>
    <row r="1122" hidden="1" x14ac:dyDescent="0.25"/>
    <row r="1123" hidden="1" x14ac:dyDescent="0.25"/>
    <row r="1124" hidden="1" x14ac:dyDescent="0.25"/>
    <row r="1125" hidden="1" x14ac:dyDescent="0.25"/>
    <row r="1126" hidden="1" x14ac:dyDescent="0.25"/>
    <row r="1127" hidden="1" x14ac:dyDescent="0.25"/>
    <row r="1128" hidden="1" x14ac:dyDescent="0.25"/>
    <row r="1129" hidden="1" x14ac:dyDescent="0.25"/>
    <row r="1130" hidden="1" x14ac:dyDescent="0.25"/>
    <row r="1131" hidden="1" x14ac:dyDescent="0.25"/>
    <row r="1132" hidden="1" x14ac:dyDescent="0.25"/>
    <row r="1133" hidden="1" x14ac:dyDescent="0.25"/>
    <row r="1134" hidden="1" x14ac:dyDescent="0.25"/>
    <row r="1135" hidden="1" x14ac:dyDescent="0.25"/>
    <row r="1136" hidden="1" x14ac:dyDescent="0.25"/>
    <row r="1137" hidden="1" x14ac:dyDescent="0.25"/>
    <row r="1138" hidden="1" x14ac:dyDescent="0.25"/>
    <row r="1139" hidden="1" x14ac:dyDescent="0.25"/>
    <row r="1140" hidden="1" x14ac:dyDescent="0.25"/>
    <row r="1141" hidden="1" x14ac:dyDescent="0.25"/>
    <row r="1142" hidden="1" x14ac:dyDescent="0.25"/>
    <row r="1143" hidden="1" x14ac:dyDescent="0.25"/>
    <row r="1144" hidden="1" x14ac:dyDescent="0.25"/>
    <row r="1145" hidden="1" x14ac:dyDescent="0.25"/>
    <row r="1146" hidden="1" x14ac:dyDescent="0.25"/>
    <row r="1147" hidden="1" x14ac:dyDescent="0.25"/>
    <row r="1148" hidden="1" x14ac:dyDescent="0.25"/>
    <row r="1149" hidden="1" x14ac:dyDescent="0.25"/>
    <row r="1150" hidden="1" x14ac:dyDescent="0.25"/>
    <row r="1151" hidden="1" x14ac:dyDescent="0.25"/>
    <row r="1152" hidden="1" x14ac:dyDescent="0.25"/>
    <row r="1153" hidden="1" x14ac:dyDescent="0.25"/>
    <row r="1154" hidden="1" x14ac:dyDescent="0.25"/>
    <row r="1155" hidden="1" x14ac:dyDescent="0.25"/>
    <row r="1156" hidden="1" x14ac:dyDescent="0.25"/>
    <row r="1157" hidden="1" x14ac:dyDescent="0.25"/>
    <row r="1158" hidden="1" x14ac:dyDescent="0.25"/>
    <row r="1159" hidden="1" x14ac:dyDescent="0.25"/>
    <row r="1160" hidden="1" x14ac:dyDescent="0.25"/>
    <row r="1161" hidden="1" x14ac:dyDescent="0.25"/>
    <row r="1162" hidden="1" x14ac:dyDescent="0.25"/>
    <row r="1163" hidden="1" x14ac:dyDescent="0.25"/>
    <row r="1164" hidden="1" x14ac:dyDescent="0.25"/>
    <row r="1165" hidden="1" x14ac:dyDescent="0.25"/>
    <row r="1166" hidden="1" x14ac:dyDescent="0.25"/>
    <row r="1167" hidden="1" x14ac:dyDescent="0.25"/>
    <row r="1168" hidden="1" x14ac:dyDescent="0.25"/>
    <row r="1169" hidden="1" x14ac:dyDescent="0.25"/>
    <row r="1170" hidden="1" x14ac:dyDescent="0.25"/>
    <row r="1171" hidden="1" x14ac:dyDescent="0.25"/>
    <row r="1172" hidden="1" x14ac:dyDescent="0.25"/>
    <row r="1173" hidden="1" x14ac:dyDescent="0.25"/>
    <row r="1174" hidden="1" x14ac:dyDescent="0.25"/>
    <row r="1175" hidden="1" x14ac:dyDescent="0.25"/>
    <row r="1176" hidden="1" x14ac:dyDescent="0.25"/>
    <row r="1177" hidden="1" x14ac:dyDescent="0.25"/>
    <row r="1178" hidden="1" x14ac:dyDescent="0.25"/>
    <row r="1179" hidden="1" x14ac:dyDescent="0.25"/>
    <row r="1180" hidden="1" x14ac:dyDescent="0.25"/>
    <row r="1181" hidden="1" x14ac:dyDescent="0.25"/>
    <row r="1182" hidden="1" x14ac:dyDescent="0.25"/>
    <row r="1183" hidden="1" x14ac:dyDescent="0.25"/>
    <row r="1184" hidden="1" x14ac:dyDescent="0.25"/>
    <row r="1185" hidden="1" x14ac:dyDescent="0.25"/>
    <row r="1186" hidden="1" x14ac:dyDescent="0.25"/>
    <row r="1187" hidden="1" x14ac:dyDescent="0.25"/>
    <row r="1188" hidden="1" x14ac:dyDescent="0.25"/>
    <row r="1189" hidden="1" x14ac:dyDescent="0.25"/>
    <row r="1190" hidden="1" x14ac:dyDescent="0.25"/>
    <row r="1191" hidden="1" x14ac:dyDescent="0.25"/>
    <row r="1192" hidden="1" x14ac:dyDescent="0.25"/>
    <row r="1193" hidden="1" x14ac:dyDescent="0.25"/>
    <row r="1194" hidden="1" x14ac:dyDescent="0.25"/>
    <row r="1195" hidden="1" x14ac:dyDescent="0.25"/>
    <row r="1196" hidden="1" x14ac:dyDescent="0.25"/>
    <row r="1197" hidden="1" x14ac:dyDescent="0.25"/>
    <row r="1198" hidden="1" x14ac:dyDescent="0.25"/>
    <row r="1199" hidden="1" x14ac:dyDescent="0.25"/>
    <row r="1200" hidden="1" x14ac:dyDescent="0.25"/>
    <row r="1201" hidden="1" x14ac:dyDescent="0.25"/>
    <row r="1202" hidden="1" x14ac:dyDescent="0.25"/>
    <row r="1203" hidden="1" x14ac:dyDescent="0.25"/>
    <row r="1204" hidden="1" x14ac:dyDescent="0.25"/>
    <row r="1205" hidden="1" x14ac:dyDescent="0.25"/>
    <row r="1206" hidden="1" x14ac:dyDescent="0.25"/>
    <row r="1207" hidden="1" x14ac:dyDescent="0.25"/>
    <row r="1208" hidden="1" x14ac:dyDescent="0.25"/>
    <row r="1209" hidden="1" x14ac:dyDescent="0.25"/>
    <row r="1210" hidden="1" x14ac:dyDescent="0.25"/>
    <row r="1211" hidden="1" x14ac:dyDescent="0.25"/>
    <row r="1212" hidden="1" x14ac:dyDescent="0.25"/>
    <row r="1213" hidden="1" x14ac:dyDescent="0.25"/>
    <row r="1214" hidden="1" x14ac:dyDescent="0.25"/>
    <row r="1215" hidden="1" x14ac:dyDescent="0.25"/>
    <row r="1216" hidden="1" x14ac:dyDescent="0.25"/>
    <row r="1217" hidden="1" x14ac:dyDescent="0.25"/>
    <row r="1218" hidden="1" x14ac:dyDescent="0.25"/>
    <row r="1219" hidden="1" x14ac:dyDescent="0.25"/>
    <row r="1220" hidden="1" x14ac:dyDescent="0.25"/>
    <row r="1221" hidden="1" x14ac:dyDescent="0.25"/>
    <row r="1222" hidden="1" x14ac:dyDescent="0.25"/>
    <row r="1223" hidden="1" x14ac:dyDescent="0.25"/>
    <row r="1224" hidden="1" x14ac:dyDescent="0.25"/>
    <row r="1225" hidden="1" x14ac:dyDescent="0.25"/>
    <row r="1226" hidden="1" x14ac:dyDescent="0.25"/>
    <row r="1227" hidden="1" x14ac:dyDescent="0.25"/>
    <row r="1228" hidden="1" x14ac:dyDescent="0.25"/>
    <row r="1229" hidden="1" x14ac:dyDescent="0.25"/>
    <row r="1230" hidden="1" x14ac:dyDescent="0.25"/>
    <row r="1231" hidden="1" x14ac:dyDescent="0.25"/>
    <row r="1232" hidden="1" x14ac:dyDescent="0.25"/>
    <row r="1233" hidden="1" x14ac:dyDescent="0.25"/>
    <row r="1234" hidden="1" x14ac:dyDescent="0.25"/>
    <row r="1235" hidden="1" x14ac:dyDescent="0.25"/>
    <row r="1236" hidden="1" x14ac:dyDescent="0.25"/>
    <row r="1237" hidden="1" x14ac:dyDescent="0.25"/>
    <row r="1238" hidden="1" x14ac:dyDescent="0.25"/>
    <row r="1239" hidden="1" x14ac:dyDescent="0.25"/>
    <row r="1240" hidden="1" x14ac:dyDescent="0.25"/>
    <row r="1241" hidden="1" x14ac:dyDescent="0.25"/>
    <row r="1242" hidden="1" x14ac:dyDescent="0.25"/>
    <row r="1243" hidden="1" x14ac:dyDescent="0.25"/>
    <row r="1244" hidden="1" x14ac:dyDescent="0.25"/>
    <row r="1245" hidden="1" x14ac:dyDescent="0.25"/>
    <row r="1246" hidden="1" x14ac:dyDescent="0.25"/>
    <row r="1247" hidden="1" x14ac:dyDescent="0.25"/>
    <row r="1248" hidden="1" x14ac:dyDescent="0.25"/>
    <row r="1249" hidden="1" x14ac:dyDescent="0.25"/>
    <row r="1250" hidden="1" x14ac:dyDescent="0.25"/>
    <row r="1251" hidden="1" x14ac:dyDescent="0.25"/>
    <row r="1252" hidden="1" x14ac:dyDescent="0.25"/>
    <row r="1253" hidden="1" x14ac:dyDescent="0.25"/>
    <row r="1254" hidden="1" x14ac:dyDescent="0.25"/>
    <row r="1255" hidden="1" x14ac:dyDescent="0.25"/>
    <row r="1256" hidden="1" x14ac:dyDescent="0.25"/>
    <row r="1257" hidden="1" x14ac:dyDescent="0.25"/>
    <row r="1258" hidden="1" x14ac:dyDescent="0.25"/>
    <row r="1259" hidden="1" x14ac:dyDescent="0.25"/>
    <row r="1260" hidden="1" x14ac:dyDescent="0.25"/>
    <row r="1261" hidden="1" x14ac:dyDescent="0.25"/>
    <row r="1262" hidden="1" x14ac:dyDescent="0.25"/>
    <row r="1263" hidden="1" x14ac:dyDescent="0.25"/>
    <row r="1264" hidden="1" x14ac:dyDescent="0.25"/>
    <row r="1265" hidden="1" x14ac:dyDescent="0.25"/>
    <row r="1266" hidden="1" x14ac:dyDescent="0.25"/>
    <row r="1267" hidden="1" x14ac:dyDescent="0.25"/>
    <row r="1268" hidden="1" x14ac:dyDescent="0.25"/>
    <row r="1269" hidden="1" x14ac:dyDescent="0.25"/>
    <row r="1270" hidden="1" x14ac:dyDescent="0.25"/>
    <row r="1271" hidden="1" x14ac:dyDescent="0.25"/>
    <row r="1272" hidden="1" x14ac:dyDescent="0.25"/>
    <row r="1273" hidden="1" x14ac:dyDescent="0.25"/>
    <row r="1274" hidden="1" x14ac:dyDescent="0.25"/>
    <row r="1275" hidden="1" x14ac:dyDescent="0.25"/>
    <row r="1276" hidden="1" x14ac:dyDescent="0.25"/>
    <row r="1277" hidden="1" x14ac:dyDescent="0.25"/>
    <row r="1278" hidden="1" x14ac:dyDescent="0.25"/>
    <row r="1279" hidden="1" x14ac:dyDescent="0.25"/>
    <row r="1280" hidden="1" x14ac:dyDescent="0.25"/>
    <row r="1281" hidden="1" x14ac:dyDescent="0.25"/>
    <row r="1282" hidden="1" x14ac:dyDescent="0.25"/>
    <row r="1283" hidden="1" x14ac:dyDescent="0.25"/>
    <row r="1284" hidden="1" x14ac:dyDescent="0.25"/>
    <row r="1285" hidden="1" x14ac:dyDescent="0.25"/>
    <row r="1286" hidden="1" x14ac:dyDescent="0.25"/>
    <row r="1287" hidden="1" x14ac:dyDescent="0.25"/>
    <row r="1288" hidden="1" x14ac:dyDescent="0.25"/>
    <row r="1289" hidden="1" x14ac:dyDescent="0.25"/>
    <row r="1290" hidden="1" x14ac:dyDescent="0.25"/>
    <row r="1291" hidden="1" x14ac:dyDescent="0.25"/>
    <row r="1292" hidden="1" x14ac:dyDescent="0.25"/>
    <row r="1293" hidden="1" x14ac:dyDescent="0.25"/>
    <row r="1294" hidden="1" x14ac:dyDescent="0.25"/>
    <row r="1295" hidden="1" x14ac:dyDescent="0.25"/>
    <row r="1296" hidden="1" x14ac:dyDescent="0.25"/>
    <row r="1297" hidden="1" x14ac:dyDescent="0.25"/>
    <row r="1298" hidden="1" x14ac:dyDescent="0.25"/>
    <row r="1299" hidden="1" x14ac:dyDescent="0.25"/>
    <row r="1300" hidden="1" x14ac:dyDescent="0.25"/>
    <row r="1301" hidden="1" x14ac:dyDescent="0.25"/>
    <row r="1302" hidden="1" x14ac:dyDescent="0.25"/>
    <row r="1303" hidden="1" x14ac:dyDescent="0.25"/>
    <row r="1304" hidden="1" x14ac:dyDescent="0.25"/>
    <row r="1305" hidden="1" x14ac:dyDescent="0.25"/>
    <row r="1306" hidden="1" x14ac:dyDescent="0.25"/>
    <row r="1307" hidden="1" x14ac:dyDescent="0.25"/>
    <row r="1308" hidden="1" x14ac:dyDescent="0.25"/>
    <row r="1309" hidden="1" x14ac:dyDescent="0.25"/>
    <row r="1310" hidden="1" x14ac:dyDescent="0.25"/>
    <row r="1311" hidden="1" x14ac:dyDescent="0.25"/>
    <row r="1312" hidden="1" x14ac:dyDescent="0.25"/>
    <row r="1313" hidden="1" x14ac:dyDescent="0.25"/>
    <row r="1314" hidden="1" x14ac:dyDescent="0.25"/>
    <row r="1315" hidden="1" x14ac:dyDescent="0.25"/>
    <row r="1316" hidden="1" x14ac:dyDescent="0.25"/>
    <row r="1317" hidden="1" x14ac:dyDescent="0.25"/>
    <row r="1318" hidden="1" x14ac:dyDescent="0.25"/>
    <row r="1319" hidden="1" x14ac:dyDescent="0.25"/>
    <row r="1320" hidden="1" x14ac:dyDescent="0.25"/>
    <row r="1321" hidden="1" x14ac:dyDescent="0.25"/>
    <row r="1322" hidden="1" x14ac:dyDescent="0.25"/>
    <row r="1323" hidden="1" x14ac:dyDescent="0.25"/>
    <row r="1324" hidden="1" x14ac:dyDescent="0.25"/>
    <row r="1325" hidden="1" x14ac:dyDescent="0.25"/>
    <row r="1326" hidden="1" x14ac:dyDescent="0.25"/>
    <row r="1327" hidden="1" x14ac:dyDescent="0.25"/>
    <row r="1328" hidden="1" x14ac:dyDescent="0.25"/>
    <row r="1329" hidden="1" x14ac:dyDescent="0.25"/>
    <row r="1330" hidden="1" x14ac:dyDescent="0.25"/>
    <row r="1331" hidden="1" x14ac:dyDescent="0.25"/>
    <row r="1332" hidden="1" x14ac:dyDescent="0.25"/>
    <row r="1333" hidden="1" x14ac:dyDescent="0.25"/>
    <row r="1334" hidden="1" x14ac:dyDescent="0.25"/>
    <row r="1335" hidden="1" x14ac:dyDescent="0.25"/>
    <row r="1336" hidden="1" x14ac:dyDescent="0.25"/>
    <row r="1337" hidden="1" x14ac:dyDescent="0.25"/>
    <row r="1338" hidden="1" x14ac:dyDescent="0.25"/>
    <row r="1339" hidden="1" x14ac:dyDescent="0.25"/>
    <row r="1340" hidden="1" x14ac:dyDescent="0.25"/>
    <row r="1341" hidden="1" x14ac:dyDescent="0.25"/>
    <row r="1342" hidden="1" x14ac:dyDescent="0.25"/>
    <row r="1343" hidden="1" x14ac:dyDescent="0.25"/>
    <row r="1344" hidden="1" x14ac:dyDescent="0.25"/>
    <row r="1345" hidden="1" x14ac:dyDescent="0.25"/>
    <row r="1346" hidden="1" x14ac:dyDescent="0.25"/>
    <row r="1347" hidden="1" x14ac:dyDescent="0.25"/>
    <row r="1348" hidden="1" x14ac:dyDescent="0.25"/>
    <row r="1349" hidden="1" x14ac:dyDescent="0.25"/>
    <row r="1350" hidden="1" x14ac:dyDescent="0.25"/>
    <row r="1351" hidden="1" x14ac:dyDescent="0.25"/>
    <row r="1352" hidden="1" x14ac:dyDescent="0.25"/>
    <row r="1353" hidden="1" x14ac:dyDescent="0.25"/>
    <row r="1354" hidden="1" x14ac:dyDescent="0.25"/>
    <row r="1355" hidden="1" x14ac:dyDescent="0.25"/>
    <row r="1356" hidden="1" x14ac:dyDescent="0.25"/>
    <row r="1357" hidden="1" x14ac:dyDescent="0.25"/>
    <row r="1358" hidden="1" x14ac:dyDescent="0.25"/>
    <row r="1359" hidden="1" x14ac:dyDescent="0.25"/>
    <row r="1360" hidden="1" x14ac:dyDescent="0.25"/>
    <row r="1361" hidden="1" x14ac:dyDescent="0.25"/>
    <row r="1362" hidden="1" x14ac:dyDescent="0.25"/>
    <row r="1363" hidden="1" x14ac:dyDescent="0.25"/>
    <row r="1364" hidden="1" x14ac:dyDescent="0.25"/>
    <row r="1365" hidden="1" x14ac:dyDescent="0.25"/>
    <row r="1366" hidden="1" x14ac:dyDescent="0.25"/>
    <row r="1367" hidden="1" x14ac:dyDescent="0.25"/>
    <row r="1368" hidden="1" x14ac:dyDescent="0.25"/>
    <row r="1369" hidden="1" x14ac:dyDescent="0.25"/>
    <row r="1370" hidden="1" x14ac:dyDescent="0.25"/>
    <row r="1371" hidden="1" x14ac:dyDescent="0.25"/>
    <row r="1372" hidden="1" x14ac:dyDescent="0.25"/>
    <row r="1373" hidden="1" x14ac:dyDescent="0.25"/>
    <row r="1374" hidden="1" x14ac:dyDescent="0.25"/>
    <row r="1375" hidden="1" x14ac:dyDescent="0.25"/>
    <row r="1376" hidden="1" x14ac:dyDescent="0.25"/>
    <row r="1377" hidden="1" x14ac:dyDescent="0.25"/>
    <row r="1378" hidden="1" x14ac:dyDescent="0.25"/>
    <row r="1379" hidden="1" x14ac:dyDescent="0.25"/>
    <row r="1380" hidden="1" x14ac:dyDescent="0.25"/>
    <row r="1381" hidden="1" x14ac:dyDescent="0.25"/>
    <row r="1382" hidden="1" x14ac:dyDescent="0.25"/>
    <row r="1383" hidden="1" x14ac:dyDescent="0.25"/>
    <row r="1384" hidden="1" x14ac:dyDescent="0.25"/>
    <row r="1385" hidden="1" x14ac:dyDescent="0.25"/>
    <row r="1386" hidden="1" x14ac:dyDescent="0.25"/>
    <row r="1387" hidden="1" x14ac:dyDescent="0.25"/>
    <row r="1388" hidden="1" x14ac:dyDescent="0.25"/>
    <row r="1389" hidden="1" x14ac:dyDescent="0.25"/>
    <row r="1390" hidden="1" x14ac:dyDescent="0.25"/>
    <row r="1391" hidden="1" x14ac:dyDescent="0.25"/>
    <row r="1392" hidden="1" x14ac:dyDescent="0.25"/>
    <row r="1393" hidden="1" x14ac:dyDescent="0.25"/>
    <row r="1394" hidden="1" x14ac:dyDescent="0.25"/>
    <row r="1395" hidden="1" x14ac:dyDescent="0.25"/>
    <row r="1396" hidden="1" x14ac:dyDescent="0.25"/>
    <row r="1397" hidden="1" x14ac:dyDescent="0.25"/>
    <row r="1398" hidden="1" x14ac:dyDescent="0.25"/>
    <row r="1399" hidden="1" x14ac:dyDescent="0.25"/>
    <row r="1400" hidden="1" x14ac:dyDescent="0.25"/>
    <row r="1401" hidden="1" x14ac:dyDescent="0.25"/>
    <row r="1402" hidden="1" x14ac:dyDescent="0.25"/>
    <row r="1403" hidden="1" x14ac:dyDescent="0.25"/>
    <row r="1404" hidden="1" x14ac:dyDescent="0.25"/>
    <row r="1405" hidden="1" x14ac:dyDescent="0.25"/>
    <row r="1406" hidden="1" x14ac:dyDescent="0.25"/>
    <row r="1407" hidden="1" x14ac:dyDescent="0.25"/>
    <row r="1408" hidden="1" x14ac:dyDescent="0.25"/>
    <row r="1409" hidden="1" x14ac:dyDescent="0.25"/>
    <row r="1410" hidden="1" x14ac:dyDescent="0.25"/>
    <row r="1411" hidden="1" x14ac:dyDescent="0.25"/>
    <row r="1412" hidden="1" x14ac:dyDescent="0.25"/>
    <row r="1413" hidden="1" x14ac:dyDescent="0.25"/>
    <row r="1414" hidden="1" x14ac:dyDescent="0.25"/>
    <row r="1415" hidden="1" x14ac:dyDescent="0.25"/>
    <row r="1416" hidden="1" x14ac:dyDescent="0.25"/>
    <row r="1417" hidden="1" x14ac:dyDescent="0.25"/>
    <row r="1418" hidden="1" x14ac:dyDescent="0.25"/>
    <row r="1419" hidden="1" x14ac:dyDescent="0.25"/>
    <row r="1420" hidden="1" x14ac:dyDescent="0.25"/>
    <row r="1421" hidden="1" x14ac:dyDescent="0.25"/>
    <row r="1422" hidden="1" x14ac:dyDescent="0.25"/>
    <row r="1423" hidden="1" x14ac:dyDescent="0.25"/>
    <row r="1424" hidden="1" x14ac:dyDescent="0.25"/>
    <row r="1425" hidden="1" x14ac:dyDescent="0.25"/>
    <row r="1426" hidden="1" x14ac:dyDescent="0.25"/>
    <row r="1427" hidden="1" x14ac:dyDescent="0.25"/>
    <row r="1428" hidden="1" x14ac:dyDescent="0.25"/>
    <row r="1429" hidden="1" x14ac:dyDescent="0.25"/>
    <row r="1430" hidden="1" x14ac:dyDescent="0.25"/>
    <row r="1431" hidden="1" x14ac:dyDescent="0.25"/>
    <row r="1432" hidden="1" x14ac:dyDescent="0.25"/>
    <row r="1433" hidden="1" x14ac:dyDescent="0.25"/>
    <row r="1434" hidden="1" x14ac:dyDescent="0.25"/>
    <row r="1435" hidden="1" x14ac:dyDescent="0.25"/>
    <row r="1436" hidden="1" x14ac:dyDescent="0.25"/>
    <row r="1437" hidden="1" x14ac:dyDescent="0.25"/>
    <row r="1438" hidden="1" x14ac:dyDescent="0.25"/>
    <row r="1439" hidden="1" x14ac:dyDescent="0.25"/>
    <row r="1440" hidden="1" x14ac:dyDescent="0.25"/>
    <row r="1441" hidden="1" x14ac:dyDescent="0.25"/>
    <row r="1442" hidden="1" x14ac:dyDescent="0.25"/>
    <row r="1443" hidden="1" x14ac:dyDescent="0.25"/>
    <row r="1444" hidden="1" x14ac:dyDescent="0.25"/>
    <row r="1445" hidden="1" x14ac:dyDescent="0.25"/>
    <row r="1446" hidden="1" x14ac:dyDescent="0.25"/>
    <row r="1447" hidden="1" x14ac:dyDescent="0.25"/>
    <row r="1448" hidden="1" x14ac:dyDescent="0.25"/>
    <row r="1449" hidden="1" x14ac:dyDescent="0.25"/>
    <row r="1450" hidden="1" x14ac:dyDescent="0.25"/>
    <row r="1451" hidden="1" x14ac:dyDescent="0.25"/>
    <row r="1452" hidden="1" x14ac:dyDescent="0.25"/>
    <row r="1453" hidden="1" x14ac:dyDescent="0.25"/>
    <row r="1454" hidden="1" x14ac:dyDescent="0.25"/>
    <row r="1455" hidden="1" x14ac:dyDescent="0.25"/>
    <row r="1456" hidden="1" x14ac:dyDescent="0.25"/>
    <row r="1457" hidden="1" x14ac:dyDescent="0.25"/>
    <row r="1458" hidden="1" x14ac:dyDescent="0.25"/>
    <row r="1459" hidden="1" x14ac:dyDescent="0.25"/>
    <row r="1460" hidden="1" x14ac:dyDescent="0.25"/>
    <row r="1461" hidden="1" x14ac:dyDescent="0.25"/>
    <row r="1462" hidden="1" x14ac:dyDescent="0.25"/>
    <row r="1463" hidden="1" x14ac:dyDescent="0.25"/>
    <row r="1464" hidden="1" x14ac:dyDescent="0.25"/>
    <row r="1465" hidden="1" x14ac:dyDescent="0.25"/>
    <row r="1466" hidden="1" x14ac:dyDescent="0.25"/>
    <row r="1467" hidden="1" x14ac:dyDescent="0.25"/>
    <row r="1468" hidden="1" x14ac:dyDescent="0.25"/>
    <row r="1469" hidden="1" x14ac:dyDescent="0.25"/>
    <row r="1470" hidden="1" x14ac:dyDescent="0.25"/>
    <row r="1471" hidden="1" x14ac:dyDescent="0.25"/>
    <row r="1472" hidden="1" x14ac:dyDescent="0.25"/>
    <row r="1473" hidden="1" x14ac:dyDescent="0.25"/>
    <row r="1474" hidden="1" x14ac:dyDescent="0.25"/>
    <row r="1475" hidden="1" x14ac:dyDescent="0.25"/>
    <row r="1476" hidden="1" x14ac:dyDescent="0.25"/>
    <row r="1477" hidden="1" x14ac:dyDescent="0.25"/>
    <row r="1478" hidden="1" x14ac:dyDescent="0.25"/>
    <row r="1479" hidden="1" x14ac:dyDescent="0.25"/>
    <row r="1480" hidden="1" x14ac:dyDescent="0.25"/>
    <row r="1481" hidden="1" x14ac:dyDescent="0.25"/>
    <row r="1482" hidden="1" x14ac:dyDescent="0.25"/>
    <row r="1483" hidden="1" x14ac:dyDescent="0.25"/>
    <row r="1484" hidden="1" x14ac:dyDescent="0.25"/>
    <row r="1485" hidden="1" x14ac:dyDescent="0.25"/>
    <row r="1486" hidden="1" x14ac:dyDescent="0.25"/>
    <row r="1487" hidden="1" x14ac:dyDescent="0.25"/>
    <row r="1488" hidden="1" x14ac:dyDescent="0.25"/>
    <row r="1489" hidden="1" x14ac:dyDescent="0.25"/>
    <row r="1490" hidden="1" x14ac:dyDescent="0.25"/>
    <row r="1491" hidden="1" x14ac:dyDescent="0.25"/>
    <row r="1492" hidden="1" x14ac:dyDescent="0.25"/>
    <row r="1493" hidden="1" x14ac:dyDescent="0.25"/>
    <row r="1494" hidden="1" x14ac:dyDescent="0.25"/>
    <row r="1495" hidden="1" x14ac:dyDescent="0.25"/>
    <row r="1496" hidden="1" x14ac:dyDescent="0.25"/>
    <row r="1497" hidden="1" x14ac:dyDescent="0.25"/>
    <row r="1498" hidden="1" x14ac:dyDescent="0.25"/>
    <row r="1499" hidden="1" x14ac:dyDescent="0.25"/>
    <row r="1500" hidden="1" x14ac:dyDescent="0.25"/>
    <row r="1501" hidden="1" x14ac:dyDescent="0.25"/>
    <row r="1502" hidden="1" x14ac:dyDescent="0.25"/>
    <row r="1503" hidden="1" x14ac:dyDescent="0.25"/>
    <row r="1504" hidden="1" x14ac:dyDescent="0.25"/>
    <row r="1505" hidden="1" x14ac:dyDescent="0.25"/>
    <row r="1506" hidden="1" x14ac:dyDescent="0.25"/>
    <row r="1507" hidden="1" x14ac:dyDescent="0.25"/>
    <row r="1508" hidden="1" x14ac:dyDescent="0.25"/>
    <row r="1509" hidden="1" x14ac:dyDescent="0.25"/>
    <row r="1510" hidden="1" x14ac:dyDescent="0.25"/>
    <row r="1511" hidden="1" x14ac:dyDescent="0.25"/>
    <row r="1512" hidden="1" x14ac:dyDescent="0.25"/>
    <row r="1513" hidden="1" x14ac:dyDescent="0.25"/>
    <row r="1514" hidden="1" x14ac:dyDescent="0.25"/>
    <row r="1515" hidden="1" x14ac:dyDescent="0.25"/>
    <row r="1516" hidden="1" x14ac:dyDescent="0.25"/>
    <row r="1517" hidden="1" x14ac:dyDescent="0.25"/>
    <row r="1518" hidden="1" x14ac:dyDescent="0.25"/>
    <row r="1519" hidden="1" x14ac:dyDescent="0.25"/>
    <row r="1520" hidden="1" x14ac:dyDescent="0.25"/>
    <row r="1521" hidden="1" x14ac:dyDescent="0.25"/>
    <row r="1522" hidden="1" x14ac:dyDescent="0.25"/>
    <row r="1523" hidden="1" x14ac:dyDescent="0.25"/>
    <row r="1524" hidden="1" x14ac:dyDescent="0.25"/>
    <row r="1525" hidden="1" x14ac:dyDescent="0.25"/>
    <row r="1526" hidden="1" x14ac:dyDescent="0.25"/>
    <row r="1527" hidden="1" x14ac:dyDescent="0.25"/>
    <row r="1528" hidden="1" x14ac:dyDescent="0.25"/>
    <row r="1529" hidden="1" x14ac:dyDescent="0.25"/>
    <row r="1530" hidden="1" x14ac:dyDescent="0.25"/>
    <row r="1531" hidden="1" x14ac:dyDescent="0.25"/>
    <row r="1532" hidden="1" x14ac:dyDescent="0.25"/>
    <row r="1533" hidden="1" x14ac:dyDescent="0.25"/>
    <row r="1534" hidden="1" x14ac:dyDescent="0.25"/>
    <row r="1535" hidden="1" x14ac:dyDescent="0.25"/>
    <row r="1536" hidden="1" x14ac:dyDescent="0.25"/>
    <row r="1537" hidden="1" x14ac:dyDescent="0.25"/>
    <row r="1538" hidden="1" x14ac:dyDescent="0.25"/>
    <row r="1539" hidden="1" x14ac:dyDescent="0.25"/>
    <row r="1540" hidden="1" x14ac:dyDescent="0.25"/>
    <row r="1541" hidden="1" x14ac:dyDescent="0.25"/>
    <row r="1542" hidden="1" x14ac:dyDescent="0.25"/>
    <row r="1543" hidden="1" x14ac:dyDescent="0.25"/>
    <row r="1544" hidden="1" x14ac:dyDescent="0.25"/>
    <row r="1545" hidden="1" x14ac:dyDescent="0.25"/>
    <row r="1546" hidden="1" x14ac:dyDescent="0.25"/>
    <row r="1547" hidden="1" x14ac:dyDescent="0.25"/>
    <row r="1548" hidden="1" x14ac:dyDescent="0.25"/>
    <row r="1549" hidden="1" x14ac:dyDescent="0.25"/>
    <row r="1550" hidden="1" x14ac:dyDescent="0.25"/>
    <row r="1551" hidden="1" x14ac:dyDescent="0.25"/>
    <row r="1552" hidden="1" x14ac:dyDescent="0.25"/>
    <row r="1553" hidden="1" x14ac:dyDescent="0.25"/>
    <row r="1554" hidden="1" x14ac:dyDescent="0.25"/>
    <row r="1555" hidden="1" x14ac:dyDescent="0.25"/>
    <row r="1556" hidden="1" x14ac:dyDescent="0.25"/>
    <row r="1557" hidden="1" x14ac:dyDescent="0.25"/>
    <row r="1558" hidden="1" x14ac:dyDescent="0.25"/>
    <row r="1559" hidden="1" x14ac:dyDescent="0.25"/>
    <row r="1560" hidden="1" x14ac:dyDescent="0.25"/>
    <row r="1561" hidden="1" x14ac:dyDescent="0.25"/>
    <row r="1562" hidden="1" x14ac:dyDescent="0.25"/>
    <row r="1563" hidden="1" x14ac:dyDescent="0.25"/>
    <row r="1564" hidden="1" x14ac:dyDescent="0.25"/>
    <row r="1565" hidden="1" x14ac:dyDescent="0.25"/>
    <row r="1566" hidden="1" x14ac:dyDescent="0.25"/>
    <row r="1567" hidden="1" x14ac:dyDescent="0.25"/>
    <row r="1568" hidden="1" x14ac:dyDescent="0.25"/>
    <row r="1569" hidden="1" x14ac:dyDescent="0.25"/>
    <row r="1570" hidden="1" x14ac:dyDescent="0.25"/>
    <row r="1571" hidden="1" x14ac:dyDescent="0.25"/>
    <row r="1572" hidden="1" x14ac:dyDescent="0.25"/>
    <row r="1573" hidden="1" x14ac:dyDescent="0.25"/>
    <row r="1574" hidden="1" x14ac:dyDescent="0.25"/>
    <row r="1575" hidden="1" x14ac:dyDescent="0.25"/>
    <row r="1576" hidden="1" x14ac:dyDescent="0.25"/>
    <row r="1577" hidden="1" x14ac:dyDescent="0.25"/>
    <row r="1578" hidden="1" x14ac:dyDescent="0.25"/>
    <row r="1579" hidden="1" x14ac:dyDescent="0.25"/>
    <row r="1580" hidden="1" x14ac:dyDescent="0.25"/>
    <row r="1581" hidden="1" x14ac:dyDescent="0.25"/>
    <row r="1582" hidden="1" x14ac:dyDescent="0.25"/>
    <row r="1583" hidden="1" x14ac:dyDescent="0.25"/>
    <row r="1584" hidden="1" x14ac:dyDescent="0.25"/>
    <row r="1585" hidden="1" x14ac:dyDescent="0.25"/>
    <row r="1586" hidden="1" x14ac:dyDescent="0.25"/>
    <row r="1587" hidden="1" x14ac:dyDescent="0.25"/>
    <row r="1588" hidden="1" x14ac:dyDescent="0.25"/>
    <row r="1589" hidden="1" x14ac:dyDescent="0.25"/>
    <row r="1590" hidden="1" x14ac:dyDescent="0.25"/>
    <row r="1591" hidden="1" x14ac:dyDescent="0.25"/>
    <row r="1592" hidden="1" x14ac:dyDescent="0.25"/>
    <row r="1593" hidden="1" x14ac:dyDescent="0.25"/>
    <row r="1594" hidden="1" x14ac:dyDescent="0.25"/>
    <row r="1595" hidden="1" x14ac:dyDescent="0.25"/>
    <row r="1596" hidden="1" x14ac:dyDescent="0.25"/>
    <row r="1597" hidden="1" x14ac:dyDescent="0.25"/>
    <row r="1598" hidden="1" x14ac:dyDescent="0.25"/>
    <row r="1599" hidden="1" x14ac:dyDescent="0.25"/>
    <row r="1600" hidden="1" x14ac:dyDescent="0.25"/>
    <row r="1601" hidden="1" x14ac:dyDescent="0.25"/>
    <row r="1602" hidden="1" x14ac:dyDescent="0.25"/>
    <row r="1603" hidden="1" x14ac:dyDescent="0.25"/>
    <row r="1604" hidden="1" x14ac:dyDescent="0.25"/>
    <row r="1605" hidden="1" x14ac:dyDescent="0.25"/>
    <row r="1606" hidden="1" x14ac:dyDescent="0.25"/>
    <row r="1607" hidden="1" x14ac:dyDescent="0.25"/>
    <row r="1608" hidden="1" x14ac:dyDescent="0.25"/>
    <row r="1609" hidden="1" x14ac:dyDescent="0.25"/>
    <row r="1610" hidden="1" x14ac:dyDescent="0.25"/>
    <row r="1611" hidden="1" x14ac:dyDescent="0.25"/>
    <row r="1612" hidden="1" x14ac:dyDescent="0.25"/>
    <row r="1613" hidden="1" x14ac:dyDescent="0.25"/>
    <row r="1614" hidden="1" x14ac:dyDescent="0.25"/>
    <row r="1615" hidden="1" x14ac:dyDescent="0.25"/>
    <row r="1616" hidden="1" x14ac:dyDescent="0.25"/>
    <row r="1617" hidden="1" x14ac:dyDescent="0.25"/>
    <row r="1618" hidden="1" x14ac:dyDescent="0.25"/>
    <row r="1619" hidden="1" x14ac:dyDescent="0.25"/>
    <row r="1620" hidden="1" x14ac:dyDescent="0.25"/>
    <row r="1621" hidden="1" x14ac:dyDescent="0.25"/>
    <row r="1622" hidden="1" x14ac:dyDescent="0.25"/>
    <row r="1623" hidden="1" x14ac:dyDescent="0.25"/>
    <row r="1624" hidden="1" x14ac:dyDescent="0.25"/>
    <row r="1625" hidden="1" x14ac:dyDescent="0.25"/>
    <row r="1626" hidden="1" x14ac:dyDescent="0.25"/>
    <row r="1627" hidden="1" x14ac:dyDescent="0.25"/>
    <row r="1628" hidden="1" x14ac:dyDescent="0.25"/>
    <row r="1629" hidden="1" x14ac:dyDescent="0.25"/>
    <row r="1630" hidden="1" x14ac:dyDescent="0.25"/>
    <row r="1631" hidden="1" x14ac:dyDescent="0.25"/>
    <row r="1632" hidden="1" x14ac:dyDescent="0.25"/>
    <row r="1633" hidden="1" x14ac:dyDescent="0.25"/>
    <row r="1634" hidden="1" x14ac:dyDescent="0.25"/>
    <row r="1635" hidden="1" x14ac:dyDescent="0.25"/>
    <row r="1636" hidden="1" x14ac:dyDescent="0.25"/>
    <row r="1637" hidden="1" x14ac:dyDescent="0.25"/>
    <row r="1638" hidden="1" x14ac:dyDescent="0.25"/>
    <row r="1639" hidden="1" x14ac:dyDescent="0.25"/>
    <row r="1640" hidden="1" x14ac:dyDescent="0.25"/>
    <row r="1641" hidden="1" x14ac:dyDescent="0.25"/>
    <row r="1642" hidden="1" x14ac:dyDescent="0.25"/>
    <row r="1643" hidden="1" x14ac:dyDescent="0.25"/>
    <row r="1644" hidden="1" x14ac:dyDescent="0.25"/>
    <row r="1645" hidden="1" x14ac:dyDescent="0.25"/>
    <row r="1646" hidden="1" x14ac:dyDescent="0.25"/>
    <row r="1647" hidden="1" x14ac:dyDescent="0.25"/>
    <row r="1648" hidden="1" x14ac:dyDescent="0.25"/>
    <row r="1649" hidden="1" x14ac:dyDescent="0.25"/>
    <row r="1650" hidden="1" x14ac:dyDescent="0.25"/>
    <row r="1651" hidden="1" x14ac:dyDescent="0.25"/>
    <row r="1652" hidden="1" x14ac:dyDescent="0.25"/>
    <row r="1653" hidden="1" x14ac:dyDescent="0.25"/>
    <row r="1654" hidden="1" x14ac:dyDescent="0.25"/>
    <row r="1655" hidden="1" x14ac:dyDescent="0.25"/>
    <row r="1656" hidden="1" x14ac:dyDescent="0.25"/>
    <row r="1657" hidden="1" x14ac:dyDescent="0.25"/>
    <row r="1658" hidden="1" x14ac:dyDescent="0.25"/>
    <row r="1659" hidden="1" x14ac:dyDescent="0.25"/>
    <row r="1660" hidden="1" x14ac:dyDescent="0.25"/>
    <row r="1661" hidden="1" x14ac:dyDescent="0.25"/>
    <row r="1662" hidden="1" x14ac:dyDescent="0.25"/>
    <row r="1663" hidden="1" x14ac:dyDescent="0.25"/>
    <row r="1664" hidden="1" x14ac:dyDescent="0.25"/>
    <row r="1665" hidden="1" x14ac:dyDescent="0.25"/>
    <row r="1666" hidden="1" x14ac:dyDescent="0.25"/>
    <row r="1667" hidden="1" x14ac:dyDescent="0.25"/>
    <row r="1668" hidden="1" x14ac:dyDescent="0.25"/>
    <row r="1669" hidden="1" x14ac:dyDescent="0.25"/>
    <row r="1670" hidden="1" x14ac:dyDescent="0.25"/>
    <row r="1671" hidden="1" x14ac:dyDescent="0.25"/>
    <row r="1672" hidden="1" x14ac:dyDescent="0.25"/>
    <row r="1673" hidden="1" x14ac:dyDescent="0.25"/>
    <row r="1674" hidden="1" x14ac:dyDescent="0.25"/>
    <row r="1675" hidden="1" x14ac:dyDescent="0.25"/>
    <row r="1676" hidden="1" x14ac:dyDescent="0.25"/>
    <row r="1677" hidden="1" x14ac:dyDescent="0.25"/>
    <row r="1678" hidden="1" x14ac:dyDescent="0.25"/>
    <row r="1679" hidden="1" x14ac:dyDescent="0.25"/>
    <row r="1680" hidden="1" x14ac:dyDescent="0.25"/>
    <row r="1681" hidden="1" x14ac:dyDescent="0.25"/>
    <row r="1682" hidden="1" x14ac:dyDescent="0.25"/>
    <row r="1683" hidden="1" x14ac:dyDescent="0.25"/>
    <row r="1684" hidden="1" x14ac:dyDescent="0.25"/>
    <row r="1685" hidden="1" x14ac:dyDescent="0.25"/>
    <row r="1686" hidden="1" x14ac:dyDescent="0.25"/>
    <row r="1687" hidden="1" x14ac:dyDescent="0.25"/>
    <row r="1688" hidden="1" x14ac:dyDescent="0.25"/>
    <row r="1689" hidden="1" x14ac:dyDescent="0.25"/>
    <row r="1690" hidden="1" x14ac:dyDescent="0.25"/>
    <row r="1691" hidden="1" x14ac:dyDescent="0.25"/>
    <row r="1692" hidden="1" x14ac:dyDescent="0.25"/>
    <row r="1693" hidden="1" x14ac:dyDescent="0.25"/>
    <row r="1694" hidden="1" x14ac:dyDescent="0.25"/>
    <row r="1695" hidden="1" x14ac:dyDescent="0.25"/>
    <row r="1696" hidden="1" x14ac:dyDescent="0.25"/>
    <row r="1697" hidden="1" x14ac:dyDescent="0.25"/>
    <row r="1698" hidden="1" x14ac:dyDescent="0.25"/>
    <row r="1699" hidden="1" x14ac:dyDescent="0.25"/>
    <row r="1700" hidden="1" x14ac:dyDescent="0.25"/>
    <row r="1701" hidden="1" x14ac:dyDescent="0.25"/>
    <row r="1702" hidden="1" x14ac:dyDescent="0.25"/>
    <row r="1703" hidden="1" x14ac:dyDescent="0.25"/>
    <row r="1704" hidden="1" x14ac:dyDescent="0.25"/>
    <row r="1705" hidden="1" x14ac:dyDescent="0.25"/>
    <row r="1706" hidden="1" x14ac:dyDescent="0.25"/>
    <row r="1707" hidden="1" x14ac:dyDescent="0.25"/>
    <row r="1708" hidden="1" x14ac:dyDescent="0.25"/>
    <row r="1709" hidden="1" x14ac:dyDescent="0.25"/>
    <row r="1710" hidden="1" x14ac:dyDescent="0.25"/>
    <row r="1711" hidden="1" x14ac:dyDescent="0.25"/>
    <row r="1712" hidden="1" x14ac:dyDescent="0.25"/>
    <row r="1713" hidden="1" x14ac:dyDescent="0.25"/>
    <row r="1714" hidden="1" x14ac:dyDescent="0.25"/>
    <row r="1715" hidden="1" x14ac:dyDescent="0.25"/>
    <row r="1716" hidden="1" x14ac:dyDescent="0.25"/>
    <row r="1717" hidden="1" x14ac:dyDescent="0.25"/>
    <row r="1718" hidden="1" x14ac:dyDescent="0.25"/>
    <row r="1719" hidden="1" x14ac:dyDescent="0.25"/>
    <row r="1720" hidden="1" x14ac:dyDescent="0.25"/>
    <row r="1721" hidden="1" x14ac:dyDescent="0.25"/>
    <row r="1722" hidden="1" x14ac:dyDescent="0.25"/>
    <row r="1723" hidden="1" x14ac:dyDescent="0.25"/>
    <row r="1724" hidden="1" x14ac:dyDescent="0.25"/>
    <row r="1725" hidden="1" x14ac:dyDescent="0.25"/>
    <row r="1726" hidden="1" x14ac:dyDescent="0.25"/>
    <row r="1727" hidden="1" x14ac:dyDescent="0.25"/>
    <row r="1728" hidden="1" x14ac:dyDescent="0.25"/>
    <row r="1729" hidden="1" x14ac:dyDescent="0.25"/>
    <row r="1730" hidden="1" x14ac:dyDescent="0.25"/>
    <row r="1731" hidden="1" x14ac:dyDescent="0.25"/>
    <row r="1732" hidden="1" x14ac:dyDescent="0.25"/>
    <row r="1733" hidden="1" x14ac:dyDescent="0.25"/>
    <row r="1734" hidden="1" x14ac:dyDescent="0.25"/>
    <row r="1735" hidden="1" x14ac:dyDescent="0.25"/>
    <row r="1736" hidden="1" x14ac:dyDescent="0.25"/>
    <row r="1737" hidden="1" x14ac:dyDescent="0.25"/>
    <row r="1738" hidden="1" x14ac:dyDescent="0.25"/>
    <row r="1739" hidden="1" x14ac:dyDescent="0.25"/>
    <row r="1740" hidden="1" x14ac:dyDescent="0.25"/>
    <row r="1741" hidden="1" x14ac:dyDescent="0.25"/>
    <row r="1742" hidden="1" x14ac:dyDescent="0.25"/>
    <row r="1743" hidden="1" x14ac:dyDescent="0.25"/>
    <row r="1744" hidden="1" x14ac:dyDescent="0.25"/>
    <row r="1745" hidden="1" x14ac:dyDescent="0.25"/>
    <row r="1746" hidden="1" x14ac:dyDescent="0.25"/>
    <row r="1747" hidden="1" x14ac:dyDescent="0.25"/>
    <row r="1748" hidden="1" x14ac:dyDescent="0.25"/>
    <row r="1749" hidden="1" x14ac:dyDescent="0.25"/>
    <row r="1750" hidden="1" x14ac:dyDescent="0.25"/>
    <row r="1751" hidden="1" x14ac:dyDescent="0.25"/>
    <row r="1752" hidden="1" x14ac:dyDescent="0.25"/>
    <row r="1753" hidden="1" x14ac:dyDescent="0.25"/>
    <row r="1754" hidden="1" x14ac:dyDescent="0.25"/>
    <row r="1755" hidden="1" x14ac:dyDescent="0.25"/>
    <row r="1756" hidden="1" x14ac:dyDescent="0.25"/>
    <row r="1757" hidden="1" x14ac:dyDescent="0.25"/>
    <row r="1758" hidden="1" x14ac:dyDescent="0.25"/>
    <row r="1759" hidden="1" x14ac:dyDescent="0.25"/>
    <row r="1760" hidden="1" x14ac:dyDescent="0.25"/>
    <row r="1761" hidden="1" x14ac:dyDescent="0.25"/>
    <row r="1762" hidden="1" x14ac:dyDescent="0.25"/>
    <row r="1763" hidden="1" x14ac:dyDescent="0.25"/>
    <row r="1764" hidden="1" x14ac:dyDescent="0.25"/>
    <row r="1765" hidden="1" x14ac:dyDescent="0.25"/>
    <row r="1766" hidden="1" x14ac:dyDescent="0.25"/>
    <row r="1767" hidden="1" x14ac:dyDescent="0.25"/>
    <row r="1768" hidden="1" x14ac:dyDescent="0.25"/>
    <row r="1769" hidden="1" x14ac:dyDescent="0.25"/>
    <row r="1770" hidden="1" x14ac:dyDescent="0.25"/>
    <row r="1771" hidden="1" x14ac:dyDescent="0.25"/>
    <row r="1772" hidden="1" x14ac:dyDescent="0.25"/>
    <row r="1773" hidden="1" x14ac:dyDescent="0.25"/>
    <row r="1774" hidden="1" x14ac:dyDescent="0.25"/>
    <row r="1775" hidden="1" x14ac:dyDescent="0.25"/>
    <row r="1776" hidden="1" x14ac:dyDescent="0.25"/>
    <row r="1777" hidden="1" x14ac:dyDescent="0.25"/>
    <row r="1778" hidden="1" x14ac:dyDescent="0.25"/>
    <row r="1779" hidden="1" x14ac:dyDescent="0.25"/>
    <row r="1780" hidden="1" x14ac:dyDescent="0.25"/>
    <row r="1781" hidden="1" x14ac:dyDescent="0.25"/>
    <row r="1782" hidden="1" x14ac:dyDescent="0.25"/>
    <row r="1783" hidden="1" x14ac:dyDescent="0.25"/>
    <row r="1784" hidden="1" x14ac:dyDescent="0.25"/>
    <row r="1785" hidden="1" x14ac:dyDescent="0.25"/>
    <row r="1786" hidden="1" x14ac:dyDescent="0.25"/>
    <row r="1787" hidden="1" x14ac:dyDescent="0.25"/>
    <row r="1788" hidden="1" x14ac:dyDescent="0.25"/>
    <row r="1789" hidden="1" x14ac:dyDescent="0.25"/>
    <row r="1790" hidden="1" x14ac:dyDescent="0.25"/>
    <row r="1791" hidden="1" x14ac:dyDescent="0.25"/>
    <row r="1792" hidden="1" x14ac:dyDescent="0.25"/>
    <row r="1793" hidden="1" x14ac:dyDescent="0.25"/>
    <row r="1794" hidden="1" x14ac:dyDescent="0.25"/>
    <row r="1795" hidden="1" x14ac:dyDescent="0.25"/>
    <row r="1796" hidden="1" x14ac:dyDescent="0.25"/>
    <row r="1797" hidden="1" x14ac:dyDescent="0.25"/>
    <row r="1798" hidden="1" x14ac:dyDescent="0.25"/>
    <row r="1799" hidden="1" x14ac:dyDescent="0.25"/>
    <row r="1800" hidden="1" x14ac:dyDescent="0.25"/>
    <row r="1801" hidden="1" x14ac:dyDescent="0.25"/>
    <row r="1802" hidden="1" x14ac:dyDescent="0.25"/>
    <row r="1803" hidden="1" x14ac:dyDescent="0.25"/>
    <row r="1804" hidden="1" x14ac:dyDescent="0.25"/>
    <row r="1805" hidden="1" x14ac:dyDescent="0.25"/>
    <row r="1806" hidden="1" x14ac:dyDescent="0.25"/>
    <row r="1807" hidden="1" x14ac:dyDescent="0.25"/>
    <row r="1808" hidden="1" x14ac:dyDescent="0.25"/>
    <row r="1809" hidden="1" x14ac:dyDescent="0.25"/>
    <row r="1810" hidden="1" x14ac:dyDescent="0.25"/>
    <row r="1811" hidden="1" x14ac:dyDescent="0.25"/>
    <row r="1812" hidden="1" x14ac:dyDescent="0.25"/>
    <row r="1813" hidden="1" x14ac:dyDescent="0.25"/>
    <row r="1814" hidden="1" x14ac:dyDescent="0.25"/>
    <row r="1815" hidden="1" x14ac:dyDescent="0.25"/>
    <row r="1816" hidden="1" x14ac:dyDescent="0.25"/>
    <row r="1817" hidden="1" x14ac:dyDescent="0.25"/>
    <row r="1818" hidden="1" x14ac:dyDescent="0.25"/>
    <row r="1819" hidden="1" x14ac:dyDescent="0.25"/>
    <row r="1820" hidden="1" x14ac:dyDescent="0.25"/>
    <row r="1821" hidden="1" x14ac:dyDescent="0.25"/>
    <row r="1822" hidden="1" x14ac:dyDescent="0.25"/>
    <row r="1823" hidden="1" x14ac:dyDescent="0.25"/>
    <row r="1824" hidden="1" x14ac:dyDescent="0.25"/>
    <row r="1825" hidden="1" x14ac:dyDescent="0.25"/>
    <row r="1826" hidden="1" x14ac:dyDescent="0.25"/>
    <row r="1827" hidden="1" x14ac:dyDescent="0.25"/>
    <row r="1828" hidden="1" x14ac:dyDescent="0.25"/>
    <row r="1829" hidden="1" x14ac:dyDescent="0.25"/>
    <row r="1830" hidden="1" x14ac:dyDescent="0.25"/>
    <row r="1831" hidden="1" x14ac:dyDescent="0.25"/>
    <row r="1832" hidden="1" x14ac:dyDescent="0.25"/>
    <row r="1833" hidden="1" x14ac:dyDescent="0.25"/>
    <row r="1834" hidden="1" x14ac:dyDescent="0.25"/>
    <row r="1835" hidden="1" x14ac:dyDescent="0.25"/>
    <row r="1836" hidden="1" x14ac:dyDescent="0.25"/>
    <row r="1837" hidden="1" x14ac:dyDescent="0.25"/>
    <row r="1838" hidden="1" x14ac:dyDescent="0.25"/>
    <row r="1839" hidden="1" x14ac:dyDescent="0.25"/>
    <row r="1840" hidden="1" x14ac:dyDescent="0.25"/>
    <row r="1841" hidden="1" x14ac:dyDescent="0.25"/>
    <row r="1842" hidden="1" x14ac:dyDescent="0.25"/>
    <row r="1843" hidden="1" x14ac:dyDescent="0.25"/>
    <row r="1844" hidden="1" x14ac:dyDescent="0.25"/>
    <row r="1845" hidden="1" x14ac:dyDescent="0.25"/>
    <row r="1846" hidden="1" x14ac:dyDescent="0.25"/>
    <row r="1847" hidden="1" x14ac:dyDescent="0.25"/>
    <row r="1848" hidden="1" x14ac:dyDescent="0.25"/>
    <row r="1849" hidden="1" x14ac:dyDescent="0.25"/>
    <row r="1850" hidden="1" x14ac:dyDescent="0.25"/>
    <row r="1851" hidden="1" x14ac:dyDescent="0.25"/>
    <row r="1852" hidden="1" x14ac:dyDescent="0.25"/>
    <row r="1853" hidden="1" x14ac:dyDescent="0.25"/>
    <row r="1854" hidden="1" x14ac:dyDescent="0.25"/>
    <row r="1855" hidden="1" x14ac:dyDescent="0.25"/>
    <row r="1856" hidden="1" x14ac:dyDescent="0.25"/>
    <row r="1857" hidden="1" x14ac:dyDescent="0.25"/>
    <row r="1858" hidden="1" x14ac:dyDescent="0.25"/>
    <row r="1859" hidden="1" x14ac:dyDescent="0.25"/>
    <row r="1860" hidden="1" x14ac:dyDescent="0.25"/>
    <row r="1861" hidden="1" x14ac:dyDescent="0.25"/>
    <row r="1862" hidden="1" x14ac:dyDescent="0.25"/>
    <row r="1863" hidden="1" x14ac:dyDescent="0.25"/>
    <row r="1864" hidden="1" x14ac:dyDescent="0.25"/>
    <row r="1865" hidden="1" x14ac:dyDescent="0.25"/>
    <row r="1866" hidden="1" x14ac:dyDescent="0.25"/>
    <row r="1867" hidden="1" x14ac:dyDescent="0.25"/>
    <row r="1868" hidden="1" x14ac:dyDescent="0.25"/>
    <row r="1869" hidden="1" x14ac:dyDescent="0.25"/>
    <row r="1870" hidden="1" x14ac:dyDescent="0.25"/>
    <row r="1871" hidden="1" x14ac:dyDescent="0.25"/>
    <row r="1872" hidden="1" x14ac:dyDescent="0.25"/>
    <row r="1873" hidden="1" x14ac:dyDescent="0.25"/>
    <row r="1874" hidden="1" x14ac:dyDescent="0.25"/>
    <row r="1875" hidden="1" x14ac:dyDescent="0.25"/>
    <row r="1876" hidden="1" x14ac:dyDescent="0.25"/>
    <row r="1877" hidden="1" x14ac:dyDescent="0.25"/>
    <row r="1878" hidden="1" x14ac:dyDescent="0.25"/>
    <row r="1879" hidden="1" x14ac:dyDescent="0.25"/>
    <row r="1880" hidden="1" x14ac:dyDescent="0.25"/>
    <row r="1881" hidden="1" x14ac:dyDescent="0.25"/>
    <row r="1882" hidden="1" x14ac:dyDescent="0.25"/>
    <row r="1883" hidden="1" x14ac:dyDescent="0.25"/>
    <row r="1884" hidden="1" x14ac:dyDescent="0.25"/>
    <row r="1885" hidden="1" x14ac:dyDescent="0.25"/>
    <row r="1886" hidden="1" x14ac:dyDescent="0.25"/>
    <row r="1887" hidden="1" x14ac:dyDescent="0.25"/>
    <row r="1888" hidden="1" x14ac:dyDescent="0.25"/>
    <row r="1889" hidden="1" x14ac:dyDescent="0.25"/>
    <row r="1890" hidden="1" x14ac:dyDescent="0.25"/>
    <row r="1891" hidden="1" x14ac:dyDescent="0.25"/>
    <row r="1892" hidden="1" x14ac:dyDescent="0.25"/>
    <row r="1893" hidden="1" x14ac:dyDescent="0.25"/>
    <row r="1894" hidden="1" x14ac:dyDescent="0.25"/>
    <row r="1895" hidden="1" x14ac:dyDescent="0.25"/>
    <row r="1896" hidden="1" x14ac:dyDescent="0.25"/>
    <row r="1897" hidden="1" x14ac:dyDescent="0.25"/>
    <row r="1898" hidden="1" x14ac:dyDescent="0.25"/>
    <row r="1899" hidden="1" x14ac:dyDescent="0.25"/>
    <row r="1900" hidden="1" x14ac:dyDescent="0.25"/>
    <row r="1901" hidden="1" x14ac:dyDescent="0.25"/>
    <row r="1902" hidden="1" x14ac:dyDescent="0.25"/>
    <row r="1903" hidden="1" x14ac:dyDescent="0.25"/>
    <row r="1904" hidden="1" x14ac:dyDescent="0.25"/>
    <row r="1905" hidden="1" x14ac:dyDescent="0.25"/>
    <row r="1906" hidden="1" x14ac:dyDescent="0.25"/>
    <row r="1907" hidden="1" x14ac:dyDescent="0.25"/>
    <row r="1908" hidden="1" x14ac:dyDescent="0.25"/>
    <row r="1909" hidden="1" x14ac:dyDescent="0.25"/>
    <row r="1910" hidden="1" x14ac:dyDescent="0.25"/>
    <row r="1911" hidden="1" x14ac:dyDescent="0.25"/>
    <row r="1912" hidden="1" x14ac:dyDescent="0.25"/>
    <row r="1913" hidden="1" x14ac:dyDescent="0.25"/>
    <row r="1914" hidden="1" x14ac:dyDescent="0.25"/>
    <row r="1915" hidden="1" x14ac:dyDescent="0.25"/>
    <row r="1916" hidden="1" x14ac:dyDescent="0.25"/>
    <row r="1917" hidden="1" x14ac:dyDescent="0.25"/>
    <row r="1918" hidden="1" x14ac:dyDescent="0.25"/>
    <row r="1919" hidden="1" x14ac:dyDescent="0.25"/>
    <row r="1920" hidden="1" x14ac:dyDescent="0.25"/>
    <row r="1921" hidden="1" x14ac:dyDescent="0.25"/>
    <row r="1922" hidden="1" x14ac:dyDescent="0.25"/>
    <row r="1923" hidden="1" x14ac:dyDescent="0.25"/>
    <row r="1924" hidden="1" x14ac:dyDescent="0.25"/>
    <row r="1925" hidden="1" x14ac:dyDescent="0.25"/>
    <row r="1926" hidden="1" x14ac:dyDescent="0.25"/>
    <row r="1927" hidden="1" x14ac:dyDescent="0.25"/>
    <row r="1928" hidden="1" x14ac:dyDescent="0.25"/>
    <row r="1929" hidden="1" x14ac:dyDescent="0.25"/>
    <row r="1930" hidden="1" x14ac:dyDescent="0.25"/>
    <row r="1931" hidden="1" x14ac:dyDescent="0.25"/>
    <row r="1932" hidden="1" x14ac:dyDescent="0.25"/>
    <row r="1933" hidden="1" x14ac:dyDescent="0.25"/>
    <row r="1934" hidden="1" x14ac:dyDescent="0.25"/>
    <row r="1935" hidden="1" x14ac:dyDescent="0.25"/>
    <row r="1936" hidden="1" x14ac:dyDescent="0.25"/>
    <row r="1937" hidden="1" x14ac:dyDescent="0.25"/>
    <row r="1938" hidden="1" x14ac:dyDescent="0.25"/>
    <row r="1939" hidden="1" x14ac:dyDescent="0.25"/>
    <row r="1940" hidden="1" x14ac:dyDescent="0.25"/>
    <row r="1941" hidden="1" x14ac:dyDescent="0.25"/>
    <row r="1942" hidden="1" x14ac:dyDescent="0.25"/>
    <row r="1943" hidden="1" x14ac:dyDescent="0.25"/>
    <row r="1944" hidden="1" x14ac:dyDescent="0.25"/>
    <row r="1945" hidden="1" x14ac:dyDescent="0.25"/>
    <row r="1946" hidden="1" x14ac:dyDescent="0.25"/>
    <row r="1947" hidden="1" x14ac:dyDescent="0.25"/>
    <row r="1948" hidden="1" x14ac:dyDescent="0.25"/>
    <row r="1949" hidden="1" x14ac:dyDescent="0.25"/>
    <row r="1950" hidden="1" x14ac:dyDescent="0.25"/>
    <row r="1951" hidden="1" x14ac:dyDescent="0.25"/>
    <row r="1952" hidden="1" x14ac:dyDescent="0.25"/>
    <row r="1953" hidden="1" x14ac:dyDescent="0.25"/>
    <row r="1954" hidden="1" x14ac:dyDescent="0.25"/>
    <row r="1955" hidden="1" x14ac:dyDescent="0.25"/>
    <row r="1956" hidden="1" x14ac:dyDescent="0.25"/>
    <row r="1957" hidden="1" x14ac:dyDescent="0.25"/>
    <row r="1958" hidden="1" x14ac:dyDescent="0.25"/>
    <row r="1959" hidden="1" x14ac:dyDescent="0.25"/>
    <row r="1960" hidden="1" x14ac:dyDescent="0.25"/>
    <row r="1961" hidden="1" x14ac:dyDescent="0.25"/>
    <row r="1962" hidden="1" x14ac:dyDescent="0.25"/>
    <row r="1963" hidden="1" x14ac:dyDescent="0.25"/>
    <row r="1964" hidden="1" x14ac:dyDescent="0.25"/>
    <row r="1965" hidden="1" x14ac:dyDescent="0.25"/>
    <row r="1966" hidden="1" x14ac:dyDescent="0.25"/>
    <row r="1967" hidden="1" x14ac:dyDescent="0.25"/>
    <row r="1968" hidden="1" x14ac:dyDescent="0.25"/>
    <row r="1969" hidden="1" x14ac:dyDescent="0.25"/>
    <row r="1970" hidden="1" x14ac:dyDescent="0.25"/>
    <row r="1971" hidden="1" x14ac:dyDescent="0.25"/>
    <row r="1972" hidden="1" x14ac:dyDescent="0.25"/>
    <row r="1973" hidden="1" x14ac:dyDescent="0.25"/>
    <row r="1974" hidden="1" x14ac:dyDescent="0.25"/>
    <row r="1975" hidden="1" x14ac:dyDescent="0.25"/>
    <row r="1976" hidden="1" x14ac:dyDescent="0.25"/>
    <row r="1977" hidden="1" x14ac:dyDescent="0.25"/>
    <row r="1978" hidden="1" x14ac:dyDescent="0.25"/>
    <row r="1979" hidden="1" x14ac:dyDescent="0.25"/>
    <row r="1980" hidden="1" x14ac:dyDescent="0.25"/>
    <row r="1981" hidden="1" x14ac:dyDescent="0.25"/>
    <row r="1982" hidden="1" x14ac:dyDescent="0.25"/>
    <row r="1983" hidden="1" x14ac:dyDescent="0.25"/>
    <row r="1984" hidden="1" x14ac:dyDescent="0.25"/>
    <row r="1985" hidden="1" x14ac:dyDescent="0.25"/>
    <row r="1986" hidden="1" x14ac:dyDescent="0.25"/>
    <row r="1987" hidden="1" x14ac:dyDescent="0.25"/>
    <row r="1988" hidden="1" x14ac:dyDescent="0.25"/>
    <row r="1989" hidden="1" x14ac:dyDescent="0.25"/>
    <row r="1990" hidden="1" x14ac:dyDescent="0.25"/>
    <row r="1991" hidden="1" x14ac:dyDescent="0.25"/>
    <row r="1992" hidden="1" x14ac:dyDescent="0.25"/>
    <row r="1993" hidden="1" x14ac:dyDescent="0.25"/>
    <row r="1994" hidden="1" x14ac:dyDescent="0.25"/>
    <row r="1995" hidden="1" x14ac:dyDescent="0.25"/>
    <row r="1996" hidden="1" x14ac:dyDescent="0.25"/>
    <row r="1997" hidden="1" x14ac:dyDescent="0.25"/>
    <row r="1998" hidden="1" x14ac:dyDescent="0.25"/>
    <row r="1999" hidden="1" x14ac:dyDescent="0.25"/>
    <row r="2000" hidden="1" x14ac:dyDescent="0.25"/>
    <row r="2001" hidden="1" x14ac:dyDescent="0.25"/>
    <row r="2002" hidden="1" x14ac:dyDescent="0.25"/>
    <row r="2003" hidden="1" x14ac:dyDescent="0.25"/>
    <row r="2004" hidden="1" x14ac:dyDescent="0.25"/>
    <row r="2005" hidden="1" x14ac:dyDescent="0.25"/>
    <row r="2006" hidden="1" x14ac:dyDescent="0.25"/>
    <row r="2007" hidden="1" x14ac:dyDescent="0.25"/>
    <row r="2008" hidden="1" x14ac:dyDescent="0.25"/>
    <row r="2009" hidden="1" x14ac:dyDescent="0.25"/>
    <row r="2010" hidden="1" x14ac:dyDescent="0.25"/>
    <row r="2011" hidden="1" x14ac:dyDescent="0.25"/>
    <row r="2012" hidden="1" x14ac:dyDescent="0.25"/>
    <row r="2013" hidden="1" x14ac:dyDescent="0.25"/>
    <row r="2014" hidden="1" x14ac:dyDescent="0.25"/>
    <row r="2015" hidden="1" x14ac:dyDescent="0.25"/>
    <row r="2016" hidden="1" x14ac:dyDescent="0.25"/>
    <row r="2017" hidden="1" x14ac:dyDescent="0.25"/>
    <row r="2018" hidden="1" x14ac:dyDescent="0.25"/>
    <row r="2019" hidden="1" x14ac:dyDescent="0.25"/>
    <row r="2020" hidden="1" x14ac:dyDescent="0.25"/>
    <row r="2021" hidden="1" x14ac:dyDescent="0.25"/>
    <row r="2022" hidden="1" x14ac:dyDescent="0.25"/>
    <row r="2023" hidden="1" x14ac:dyDescent="0.25"/>
    <row r="2024" hidden="1" x14ac:dyDescent="0.25"/>
    <row r="2025" hidden="1" x14ac:dyDescent="0.25"/>
    <row r="2026" hidden="1" x14ac:dyDescent="0.25"/>
    <row r="2027" hidden="1" x14ac:dyDescent="0.25"/>
    <row r="2028" hidden="1" x14ac:dyDescent="0.25"/>
    <row r="2029" hidden="1" x14ac:dyDescent="0.25"/>
    <row r="2030" hidden="1" x14ac:dyDescent="0.25"/>
    <row r="2031" hidden="1" x14ac:dyDescent="0.25"/>
    <row r="2032" hidden="1" x14ac:dyDescent="0.25"/>
    <row r="2033" hidden="1" x14ac:dyDescent="0.25"/>
    <row r="2034" hidden="1" x14ac:dyDescent="0.25"/>
    <row r="2035" hidden="1" x14ac:dyDescent="0.25"/>
    <row r="2036" hidden="1" x14ac:dyDescent="0.25"/>
    <row r="2037" hidden="1" x14ac:dyDescent="0.25"/>
    <row r="2038" hidden="1" x14ac:dyDescent="0.25"/>
    <row r="2039" hidden="1" x14ac:dyDescent="0.25"/>
    <row r="2040" hidden="1" x14ac:dyDescent="0.25"/>
    <row r="2041" hidden="1" x14ac:dyDescent="0.25"/>
    <row r="2042" hidden="1" x14ac:dyDescent="0.25"/>
    <row r="2043" hidden="1" x14ac:dyDescent="0.25"/>
    <row r="2044" hidden="1" x14ac:dyDescent="0.25"/>
    <row r="2045" hidden="1" x14ac:dyDescent="0.25"/>
    <row r="2046" hidden="1" x14ac:dyDescent="0.25"/>
    <row r="2047" hidden="1" x14ac:dyDescent="0.25"/>
    <row r="2048" hidden="1" x14ac:dyDescent="0.25"/>
    <row r="2049" hidden="1" x14ac:dyDescent="0.25"/>
    <row r="2050" hidden="1" x14ac:dyDescent="0.25"/>
    <row r="2051" hidden="1" x14ac:dyDescent="0.25"/>
    <row r="2052" hidden="1" x14ac:dyDescent="0.25"/>
    <row r="2053" hidden="1" x14ac:dyDescent="0.25"/>
    <row r="2054" hidden="1" x14ac:dyDescent="0.25"/>
    <row r="2055" hidden="1" x14ac:dyDescent="0.25"/>
    <row r="2056" hidden="1" x14ac:dyDescent="0.25"/>
    <row r="2057" hidden="1" x14ac:dyDescent="0.25"/>
    <row r="2058" hidden="1" x14ac:dyDescent="0.25"/>
    <row r="2059" hidden="1" x14ac:dyDescent="0.25"/>
    <row r="2060" hidden="1" x14ac:dyDescent="0.25"/>
    <row r="2061" hidden="1" x14ac:dyDescent="0.25"/>
    <row r="2062" hidden="1" x14ac:dyDescent="0.25"/>
    <row r="2063" hidden="1" x14ac:dyDescent="0.25"/>
    <row r="2064" hidden="1" x14ac:dyDescent="0.25"/>
    <row r="2065" hidden="1" x14ac:dyDescent="0.25"/>
    <row r="2066" hidden="1" x14ac:dyDescent="0.25"/>
    <row r="2067" hidden="1" x14ac:dyDescent="0.25"/>
    <row r="2068" hidden="1" x14ac:dyDescent="0.25"/>
    <row r="2069" hidden="1" x14ac:dyDescent="0.25"/>
    <row r="2070" hidden="1" x14ac:dyDescent="0.25"/>
    <row r="2071" hidden="1" x14ac:dyDescent="0.25"/>
    <row r="2072" hidden="1" x14ac:dyDescent="0.25"/>
    <row r="2073" hidden="1" x14ac:dyDescent="0.25"/>
    <row r="2074" hidden="1" x14ac:dyDescent="0.25"/>
    <row r="2075" hidden="1" x14ac:dyDescent="0.25"/>
    <row r="2076" hidden="1" x14ac:dyDescent="0.25"/>
    <row r="2077" hidden="1" x14ac:dyDescent="0.25"/>
    <row r="2078" hidden="1" x14ac:dyDescent="0.25"/>
    <row r="2079" hidden="1" x14ac:dyDescent="0.25"/>
    <row r="2080" hidden="1" x14ac:dyDescent="0.25"/>
    <row r="2081" hidden="1" x14ac:dyDescent="0.25"/>
    <row r="2082" hidden="1" x14ac:dyDescent="0.25"/>
    <row r="2083" hidden="1" x14ac:dyDescent="0.25"/>
    <row r="2084" hidden="1" x14ac:dyDescent="0.25"/>
    <row r="2085" hidden="1" x14ac:dyDescent="0.25"/>
    <row r="2086" hidden="1" x14ac:dyDescent="0.25"/>
    <row r="2087" hidden="1" x14ac:dyDescent="0.25"/>
    <row r="2088" hidden="1" x14ac:dyDescent="0.25"/>
    <row r="2089" hidden="1" x14ac:dyDescent="0.25"/>
    <row r="2090" hidden="1" x14ac:dyDescent="0.25"/>
    <row r="2091" hidden="1" x14ac:dyDescent="0.25"/>
    <row r="2092" hidden="1" x14ac:dyDescent="0.25"/>
    <row r="2093" hidden="1" x14ac:dyDescent="0.25"/>
    <row r="2094" hidden="1" x14ac:dyDescent="0.25"/>
    <row r="2095" hidden="1" x14ac:dyDescent="0.25"/>
    <row r="2096" hidden="1" x14ac:dyDescent="0.25"/>
    <row r="2097" hidden="1" x14ac:dyDescent="0.25"/>
    <row r="2098" hidden="1" x14ac:dyDescent="0.25"/>
    <row r="2099" hidden="1" x14ac:dyDescent="0.25"/>
    <row r="2100" hidden="1" x14ac:dyDescent="0.25"/>
    <row r="2101" hidden="1" x14ac:dyDescent="0.25"/>
    <row r="2102" hidden="1" x14ac:dyDescent="0.25"/>
    <row r="2103" hidden="1" x14ac:dyDescent="0.25"/>
    <row r="2104" hidden="1" x14ac:dyDescent="0.25"/>
    <row r="2105" hidden="1" x14ac:dyDescent="0.25"/>
    <row r="2106" hidden="1" x14ac:dyDescent="0.25"/>
    <row r="2107" hidden="1" x14ac:dyDescent="0.25"/>
    <row r="2108" hidden="1" x14ac:dyDescent="0.25"/>
    <row r="2109" hidden="1" x14ac:dyDescent="0.25"/>
    <row r="2110" hidden="1" x14ac:dyDescent="0.25"/>
    <row r="2111" hidden="1" x14ac:dyDescent="0.25"/>
    <row r="2112" hidden="1" x14ac:dyDescent="0.25"/>
    <row r="2113" hidden="1" x14ac:dyDescent="0.25"/>
    <row r="2114" hidden="1" x14ac:dyDescent="0.25"/>
    <row r="2115" hidden="1" x14ac:dyDescent="0.25"/>
    <row r="2116" hidden="1" x14ac:dyDescent="0.25"/>
    <row r="2117" hidden="1" x14ac:dyDescent="0.25"/>
    <row r="2118" hidden="1" x14ac:dyDescent="0.25"/>
    <row r="2119" hidden="1" x14ac:dyDescent="0.25"/>
    <row r="2120" hidden="1" x14ac:dyDescent="0.25"/>
    <row r="2121" hidden="1" x14ac:dyDescent="0.25"/>
    <row r="2122" hidden="1" x14ac:dyDescent="0.25"/>
    <row r="2123" hidden="1" x14ac:dyDescent="0.25"/>
    <row r="2124" hidden="1" x14ac:dyDescent="0.25"/>
    <row r="2125" hidden="1" x14ac:dyDescent="0.25"/>
    <row r="2126" hidden="1" x14ac:dyDescent="0.25"/>
    <row r="2127" hidden="1" x14ac:dyDescent="0.25"/>
    <row r="2128" hidden="1" x14ac:dyDescent="0.25"/>
    <row r="2129" hidden="1" x14ac:dyDescent="0.25"/>
    <row r="2130" hidden="1" x14ac:dyDescent="0.25"/>
    <row r="2131" hidden="1" x14ac:dyDescent="0.25"/>
    <row r="2132" hidden="1" x14ac:dyDescent="0.25"/>
    <row r="2133" hidden="1" x14ac:dyDescent="0.25"/>
    <row r="2134" hidden="1" x14ac:dyDescent="0.25"/>
    <row r="2135" hidden="1" x14ac:dyDescent="0.25"/>
    <row r="2136" hidden="1" x14ac:dyDescent="0.25"/>
    <row r="2137" hidden="1" x14ac:dyDescent="0.25"/>
    <row r="2138" hidden="1" x14ac:dyDescent="0.25"/>
    <row r="2139" hidden="1" x14ac:dyDescent="0.25"/>
    <row r="2140" hidden="1" x14ac:dyDescent="0.25"/>
    <row r="2141" hidden="1" x14ac:dyDescent="0.25"/>
    <row r="2142" hidden="1" x14ac:dyDescent="0.25"/>
    <row r="2143" hidden="1" x14ac:dyDescent="0.25"/>
    <row r="2144" hidden="1" x14ac:dyDescent="0.25"/>
    <row r="2145" hidden="1" x14ac:dyDescent="0.25"/>
    <row r="2146" hidden="1" x14ac:dyDescent="0.25"/>
    <row r="2147" hidden="1" x14ac:dyDescent="0.25"/>
    <row r="2148" hidden="1" x14ac:dyDescent="0.25"/>
    <row r="2149" hidden="1" x14ac:dyDescent="0.25"/>
    <row r="2150" hidden="1" x14ac:dyDescent="0.25"/>
    <row r="2151" hidden="1" x14ac:dyDescent="0.25"/>
    <row r="2152" hidden="1" x14ac:dyDescent="0.25"/>
    <row r="2153" hidden="1" x14ac:dyDescent="0.25"/>
    <row r="2154" hidden="1" x14ac:dyDescent="0.25"/>
    <row r="2155" hidden="1" x14ac:dyDescent="0.25"/>
    <row r="2156" hidden="1" x14ac:dyDescent="0.25"/>
    <row r="2157" hidden="1" x14ac:dyDescent="0.25"/>
    <row r="2158" hidden="1" x14ac:dyDescent="0.25"/>
    <row r="2159" hidden="1" x14ac:dyDescent="0.25"/>
    <row r="2160" hidden="1" x14ac:dyDescent="0.25"/>
    <row r="2161" hidden="1" x14ac:dyDescent="0.25"/>
    <row r="2162" hidden="1" x14ac:dyDescent="0.25"/>
    <row r="2163" hidden="1" x14ac:dyDescent="0.25"/>
    <row r="2164" hidden="1" x14ac:dyDescent="0.25"/>
    <row r="2165" hidden="1" x14ac:dyDescent="0.25"/>
    <row r="2166" hidden="1" x14ac:dyDescent="0.25"/>
    <row r="2167" hidden="1" x14ac:dyDescent="0.25"/>
    <row r="2168" hidden="1" x14ac:dyDescent="0.25"/>
    <row r="2169" hidden="1" x14ac:dyDescent="0.25"/>
    <row r="2170" hidden="1" x14ac:dyDescent="0.25"/>
    <row r="2171" hidden="1" x14ac:dyDescent="0.25"/>
    <row r="2172" hidden="1" x14ac:dyDescent="0.25"/>
    <row r="2173" hidden="1" x14ac:dyDescent="0.25"/>
    <row r="2174" hidden="1" x14ac:dyDescent="0.25"/>
    <row r="2175" hidden="1" x14ac:dyDescent="0.25"/>
    <row r="2176" hidden="1" x14ac:dyDescent="0.25"/>
    <row r="2177" hidden="1" x14ac:dyDescent="0.25"/>
    <row r="2178" hidden="1" x14ac:dyDescent="0.25"/>
    <row r="2179" hidden="1" x14ac:dyDescent="0.25"/>
    <row r="2180" hidden="1" x14ac:dyDescent="0.25"/>
    <row r="2181" hidden="1" x14ac:dyDescent="0.25"/>
    <row r="2182" hidden="1" x14ac:dyDescent="0.25"/>
    <row r="2183" hidden="1" x14ac:dyDescent="0.25"/>
    <row r="2184" hidden="1" x14ac:dyDescent="0.25"/>
    <row r="2185" hidden="1" x14ac:dyDescent="0.25"/>
    <row r="2186" hidden="1" x14ac:dyDescent="0.25"/>
    <row r="2187" hidden="1" x14ac:dyDescent="0.25"/>
    <row r="2188" hidden="1" x14ac:dyDescent="0.25"/>
    <row r="2189" hidden="1" x14ac:dyDescent="0.25"/>
    <row r="2190" hidden="1" x14ac:dyDescent="0.25"/>
    <row r="2191" hidden="1" x14ac:dyDescent="0.25"/>
    <row r="2192" hidden="1" x14ac:dyDescent="0.25"/>
    <row r="2193" hidden="1" x14ac:dyDescent="0.25"/>
    <row r="2194" hidden="1" x14ac:dyDescent="0.25"/>
    <row r="2195" hidden="1" x14ac:dyDescent="0.25"/>
    <row r="2196" hidden="1" x14ac:dyDescent="0.25"/>
    <row r="2197" hidden="1" x14ac:dyDescent="0.25"/>
    <row r="2198" hidden="1" x14ac:dyDescent="0.25"/>
    <row r="2199" hidden="1" x14ac:dyDescent="0.25"/>
    <row r="2200" hidden="1" x14ac:dyDescent="0.25"/>
    <row r="2201" hidden="1" x14ac:dyDescent="0.25"/>
    <row r="2202" hidden="1" x14ac:dyDescent="0.25"/>
    <row r="2203" hidden="1" x14ac:dyDescent="0.25"/>
    <row r="2204" hidden="1" x14ac:dyDescent="0.25"/>
    <row r="2205" hidden="1" x14ac:dyDescent="0.25"/>
    <row r="2206" hidden="1" x14ac:dyDescent="0.25"/>
    <row r="2207" hidden="1" x14ac:dyDescent="0.25"/>
    <row r="2208" hidden="1" x14ac:dyDescent="0.25"/>
    <row r="2209" hidden="1" x14ac:dyDescent="0.25"/>
    <row r="2210" hidden="1" x14ac:dyDescent="0.25"/>
    <row r="2211" hidden="1" x14ac:dyDescent="0.25"/>
    <row r="2212" hidden="1" x14ac:dyDescent="0.25"/>
    <row r="2213" hidden="1" x14ac:dyDescent="0.25"/>
    <row r="2214" hidden="1" x14ac:dyDescent="0.25"/>
    <row r="2215" hidden="1" x14ac:dyDescent="0.25"/>
    <row r="2216" hidden="1" x14ac:dyDescent="0.25"/>
    <row r="2217" hidden="1" x14ac:dyDescent="0.25"/>
    <row r="2218" hidden="1" x14ac:dyDescent="0.25"/>
    <row r="2219" hidden="1" x14ac:dyDescent="0.25"/>
    <row r="2220" hidden="1" x14ac:dyDescent="0.25"/>
    <row r="2221" hidden="1" x14ac:dyDescent="0.25"/>
    <row r="2222" hidden="1" x14ac:dyDescent="0.25"/>
    <row r="2223" hidden="1" x14ac:dyDescent="0.25"/>
    <row r="2224" hidden="1" x14ac:dyDescent="0.25"/>
    <row r="2225" hidden="1" x14ac:dyDescent="0.25"/>
    <row r="2226" hidden="1" x14ac:dyDescent="0.25"/>
    <row r="2227" hidden="1" x14ac:dyDescent="0.25"/>
    <row r="2228" hidden="1" x14ac:dyDescent="0.25"/>
    <row r="2229" hidden="1" x14ac:dyDescent="0.25"/>
    <row r="2230" hidden="1" x14ac:dyDescent="0.25"/>
    <row r="2231" hidden="1" x14ac:dyDescent="0.25"/>
    <row r="2232" hidden="1" x14ac:dyDescent="0.25"/>
    <row r="2233" hidden="1" x14ac:dyDescent="0.25"/>
    <row r="2234" hidden="1" x14ac:dyDescent="0.25"/>
    <row r="2235" hidden="1" x14ac:dyDescent="0.25"/>
    <row r="2236" hidden="1" x14ac:dyDescent="0.25"/>
    <row r="2237" hidden="1" x14ac:dyDescent="0.25"/>
    <row r="2238" hidden="1" x14ac:dyDescent="0.25"/>
    <row r="2239" hidden="1" x14ac:dyDescent="0.25"/>
    <row r="2240" hidden="1" x14ac:dyDescent="0.25"/>
    <row r="2241" hidden="1" x14ac:dyDescent="0.25"/>
    <row r="2242" hidden="1" x14ac:dyDescent="0.25"/>
    <row r="2243" hidden="1" x14ac:dyDescent="0.25"/>
    <row r="2244" hidden="1" x14ac:dyDescent="0.25"/>
    <row r="2245" hidden="1" x14ac:dyDescent="0.25"/>
    <row r="2246" hidden="1" x14ac:dyDescent="0.25"/>
    <row r="2247" hidden="1" x14ac:dyDescent="0.25"/>
    <row r="2248" hidden="1" x14ac:dyDescent="0.25"/>
    <row r="2249" hidden="1" x14ac:dyDescent="0.25"/>
    <row r="2250" hidden="1" x14ac:dyDescent="0.25"/>
    <row r="2251" hidden="1" x14ac:dyDescent="0.25"/>
    <row r="2252" hidden="1" x14ac:dyDescent="0.25"/>
    <row r="2253" hidden="1" x14ac:dyDescent="0.25"/>
    <row r="2254" hidden="1" x14ac:dyDescent="0.25"/>
    <row r="2255" hidden="1" x14ac:dyDescent="0.25"/>
    <row r="2256" hidden="1" x14ac:dyDescent="0.25"/>
    <row r="2257" hidden="1" x14ac:dyDescent="0.25"/>
    <row r="2258" hidden="1" x14ac:dyDescent="0.25"/>
    <row r="2259" hidden="1" x14ac:dyDescent="0.25"/>
    <row r="2260" hidden="1" x14ac:dyDescent="0.25"/>
    <row r="2261" hidden="1" x14ac:dyDescent="0.25"/>
    <row r="2262" hidden="1" x14ac:dyDescent="0.25"/>
    <row r="2263" hidden="1" x14ac:dyDescent="0.25"/>
    <row r="2264" hidden="1" x14ac:dyDescent="0.25"/>
    <row r="2265" hidden="1" x14ac:dyDescent="0.25"/>
    <row r="2266" hidden="1" x14ac:dyDescent="0.25"/>
    <row r="2267" hidden="1" x14ac:dyDescent="0.25"/>
    <row r="2268" hidden="1" x14ac:dyDescent="0.25"/>
    <row r="2269" hidden="1" x14ac:dyDescent="0.25"/>
    <row r="2270" hidden="1" x14ac:dyDescent="0.25"/>
    <row r="2271" hidden="1" x14ac:dyDescent="0.25"/>
    <row r="2272" hidden="1" x14ac:dyDescent="0.25"/>
    <row r="2273" hidden="1" x14ac:dyDescent="0.25"/>
    <row r="2274" hidden="1" x14ac:dyDescent="0.25"/>
    <row r="2275" hidden="1" x14ac:dyDescent="0.25"/>
    <row r="2276" hidden="1" x14ac:dyDescent="0.25"/>
    <row r="2277" hidden="1" x14ac:dyDescent="0.25"/>
    <row r="2278" hidden="1" x14ac:dyDescent="0.25"/>
    <row r="2279" hidden="1" x14ac:dyDescent="0.25"/>
    <row r="2280" hidden="1" x14ac:dyDescent="0.25"/>
    <row r="2281" hidden="1" x14ac:dyDescent="0.25"/>
    <row r="2282" hidden="1" x14ac:dyDescent="0.25"/>
    <row r="2283" hidden="1" x14ac:dyDescent="0.25"/>
    <row r="2284" hidden="1" x14ac:dyDescent="0.25"/>
    <row r="2285" hidden="1" x14ac:dyDescent="0.25"/>
    <row r="2286" hidden="1" x14ac:dyDescent="0.25"/>
    <row r="2287" hidden="1" x14ac:dyDescent="0.25"/>
    <row r="2288" hidden="1" x14ac:dyDescent="0.25"/>
    <row r="2289" hidden="1" x14ac:dyDescent="0.25"/>
    <row r="2290" hidden="1" x14ac:dyDescent="0.25"/>
    <row r="2291" hidden="1" x14ac:dyDescent="0.25"/>
    <row r="2292" hidden="1" x14ac:dyDescent="0.25"/>
    <row r="2293" hidden="1" x14ac:dyDescent="0.25"/>
    <row r="2294" hidden="1" x14ac:dyDescent="0.25"/>
    <row r="2295" hidden="1" x14ac:dyDescent="0.25"/>
    <row r="2296" hidden="1" x14ac:dyDescent="0.25"/>
    <row r="2297" hidden="1" x14ac:dyDescent="0.25"/>
    <row r="2298" hidden="1" x14ac:dyDescent="0.25"/>
    <row r="2299" hidden="1" x14ac:dyDescent="0.25"/>
    <row r="2300" hidden="1" x14ac:dyDescent="0.25"/>
    <row r="2301" hidden="1" x14ac:dyDescent="0.25"/>
    <row r="2302" hidden="1" x14ac:dyDescent="0.25"/>
    <row r="2303" hidden="1" x14ac:dyDescent="0.25"/>
    <row r="2304" hidden="1" x14ac:dyDescent="0.25"/>
    <row r="2305" hidden="1" x14ac:dyDescent="0.25"/>
    <row r="2306" hidden="1" x14ac:dyDescent="0.25"/>
    <row r="2307" hidden="1" x14ac:dyDescent="0.25"/>
    <row r="2308" hidden="1" x14ac:dyDescent="0.25"/>
    <row r="2309" hidden="1" x14ac:dyDescent="0.25"/>
    <row r="2310" hidden="1" x14ac:dyDescent="0.25"/>
    <row r="2311" hidden="1" x14ac:dyDescent="0.25"/>
    <row r="2312" hidden="1" x14ac:dyDescent="0.25"/>
    <row r="2313" hidden="1" x14ac:dyDescent="0.25"/>
    <row r="2314" hidden="1" x14ac:dyDescent="0.25"/>
    <row r="2315" hidden="1" x14ac:dyDescent="0.25"/>
    <row r="2316" hidden="1" x14ac:dyDescent="0.25"/>
    <row r="2317" hidden="1" x14ac:dyDescent="0.25"/>
    <row r="2318" hidden="1" x14ac:dyDescent="0.25"/>
    <row r="2319" hidden="1" x14ac:dyDescent="0.25"/>
    <row r="2320" hidden="1" x14ac:dyDescent="0.25"/>
    <row r="2321" hidden="1" x14ac:dyDescent="0.25"/>
    <row r="2322" hidden="1" x14ac:dyDescent="0.25"/>
    <row r="2323" hidden="1" x14ac:dyDescent="0.25"/>
    <row r="2324" hidden="1" x14ac:dyDescent="0.25"/>
    <row r="2325" hidden="1" x14ac:dyDescent="0.25"/>
    <row r="2326" hidden="1" x14ac:dyDescent="0.25"/>
    <row r="2327" hidden="1" x14ac:dyDescent="0.25"/>
    <row r="2328" hidden="1" x14ac:dyDescent="0.25"/>
    <row r="2329" hidden="1" x14ac:dyDescent="0.25"/>
    <row r="2330" hidden="1" x14ac:dyDescent="0.25"/>
    <row r="2331" hidden="1" x14ac:dyDescent="0.25"/>
    <row r="2332" hidden="1" x14ac:dyDescent="0.25"/>
    <row r="2333" hidden="1" x14ac:dyDescent="0.25"/>
    <row r="2334" hidden="1" x14ac:dyDescent="0.25"/>
    <row r="2335" hidden="1" x14ac:dyDescent="0.25"/>
    <row r="2336" hidden="1" x14ac:dyDescent="0.25"/>
    <row r="2337" hidden="1" x14ac:dyDescent="0.25"/>
    <row r="2338" hidden="1" x14ac:dyDescent="0.25"/>
    <row r="2339" hidden="1" x14ac:dyDescent="0.25"/>
    <row r="2340" hidden="1" x14ac:dyDescent="0.25"/>
    <row r="2341" hidden="1" x14ac:dyDescent="0.25"/>
    <row r="2342" hidden="1" x14ac:dyDescent="0.25"/>
    <row r="2343" hidden="1" x14ac:dyDescent="0.25"/>
    <row r="2344" hidden="1" x14ac:dyDescent="0.25"/>
    <row r="2345" hidden="1" x14ac:dyDescent="0.25"/>
    <row r="2346" hidden="1" x14ac:dyDescent="0.25"/>
    <row r="2347" hidden="1" x14ac:dyDescent="0.25"/>
    <row r="2348" hidden="1" x14ac:dyDescent="0.25"/>
    <row r="2349" hidden="1" x14ac:dyDescent="0.25"/>
    <row r="2350" hidden="1" x14ac:dyDescent="0.25"/>
    <row r="2351" hidden="1" x14ac:dyDescent="0.25"/>
    <row r="2352" hidden="1" x14ac:dyDescent="0.25"/>
    <row r="2353" hidden="1" x14ac:dyDescent="0.25"/>
    <row r="2354" hidden="1" x14ac:dyDescent="0.25"/>
    <row r="2355" hidden="1" x14ac:dyDescent="0.25"/>
    <row r="2356" hidden="1" x14ac:dyDescent="0.25"/>
    <row r="2357" hidden="1" x14ac:dyDescent="0.25"/>
    <row r="2358" hidden="1" x14ac:dyDescent="0.25"/>
    <row r="2359" hidden="1" x14ac:dyDescent="0.25"/>
    <row r="2360" hidden="1" x14ac:dyDescent="0.25"/>
    <row r="2361" hidden="1" x14ac:dyDescent="0.25"/>
    <row r="2362" hidden="1" x14ac:dyDescent="0.25"/>
    <row r="2363" hidden="1" x14ac:dyDescent="0.25"/>
    <row r="2364" hidden="1" x14ac:dyDescent="0.25"/>
    <row r="2365" hidden="1" x14ac:dyDescent="0.25"/>
    <row r="2366" hidden="1" x14ac:dyDescent="0.25"/>
    <row r="2367" hidden="1" x14ac:dyDescent="0.25"/>
    <row r="2368" hidden="1" x14ac:dyDescent="0.25"/>
    <row r="2369" hidden="1" x14ac:dyDescent="0.25"/>
    <row r="2370" hidden="1" x14ac:dyDescent="0.25"/>
    <row r="2371" hidden="1" x14ac:dyDescent="0.25"/>
    <row r="2372" hidden="1" x14ac:dyDescent="0.25"/>
    <row r="2373" hidden="1" x14ac:dyDescent="0.25"/>
    <row r="2374" hidden="1" x14ac:dyDescent="0.25"/>
    <row r="2375" hidden="1" x14ac:dyDescent="0.25"/>
    <row r="2376" hidden="1" x14ac:dyDescent="0.25"/>
    <row r="2377" hidden="1" x14ac:dyDescent="0.25"/>
    <row r="2378" hidden="1" x14ac:dyDescent="0.25"/>
    <row r="2379" hidden="1" x14ac:dyDescent="0.25"/>
    <row r="2380" hidden="1" x14ac:dyDescent="0.25"/>
    <row r="2381" hidden="1" x14ac:dyDescent="0.25"/>
    <row r="2382" hidden="1" x14ac:dyDescent="0.25"/>
    <row r="2383" hidden="1" x14ac:dyDescent="0.25"/>
    <row r="2384" hidden="1" x14ac:dyDescent="0.25"/>
    <row r="2385" hidden="1" x14ac:dyDescent="0.25"/>
    <row r="2386" hidden="1" x14ac:dyDescent="0.25"/>
    <row r="2387" hidden="1" x14ac:dyDescent="0.25"/>
    <row r="2388" hidden="1" x14ac:dyDescent="0.25"/>
    <row r="2389" hidden="1" x14ac:dyDescent="0.25"/>
    <row r="2390" hidden="1" x14ac:dyDescent="0.25"/>
    <row r="2391" hidden="1" x14ac:dyDescent="0.25"/>
    <row r="2392" hidden="1" x14ac:dyDescent="0.25"/>
    <row r="2393" hidden="1" x14ac:dyDescent="0.25"/>
    <row r="2394" hidden="1" x14ac:dyDescent="0.25"/>
    <row r="2395" hidden="1" x14ac:dyDescent="0.25"/>
    <row r="2396" hidden="1" x14ac:dyDescent="0.25"/>
    <row r="2397" hidden="1" x14ac:dyDescent="0.25"/>
    <row r="2398" hidden="1" x14ac:dyDescent="0.25"/>
    <row r="2399" hidden="1" x14ac:dyDescent="0.25"/>
    <row r="2400" hidden="1" x14ac:dyDescent="0.25"/>
    <row r="2401" hidden="1" x14ac:dyDescent="0.25"/>
    <row r="2402" hidden="1" x14ac:dyDescent="0.25"/>
    <row r="2403" hidden="1" x14ac:dyDescent="0.25"/>
    <row r="2404" hidden="1" x14ac:dyDescent="0.25"/>
    <row r="2405" hidden="1" x14ac:dyDescent="0.25"/>
    <row r="2406" hidden="1" x14ac:dyDescent="0.25"/>
    <row r="2407" hidden="1" x14ac:dyDescent="0.25"/>
    <row r="2408" hidden="1" x14ac:dyDescent="0.25"/>
    <row r="2409" hidden="1" x14ac:dyDescent="0.25"/>
    <row r="2410" hidden="1" x14ac:dyDescent="0.25"/>
    <row r="2411" hidden="1" x14ac:dyDescent="0.25"/>
    <row r="2412" hidden="1" x14ac:dyDescent="0.25"/>
    <row r="2413" hidden="1" x14ac:dyDescent="0.25"/>
    <row r="2414" hidden="1" x14ac:dyDescent="0.25"/>
    <row r="2415" hidden="1" x14ac:dyDescent="0.25"/>
    <row r="2416" hidden="1" x14ac:dyDescent="0.25"/>
    <row r="2417" hidden="1" x14ac:dyDescent="0.25"/>
    <row r="2418" hidden="1" x14ac:dyDescent="0.25"/>
    <row r="2419" hidden="1" x14ac:dyDescent="0.25"/>
    <row r="2420" hidden="1" x14ac:dyDescent="0.25"/>
    <row r="2421" hidden="1" x14ac:dyDescent="0.25"/>
    <row r="2422" hidden="1" x14ac:dyDescent="0.25"/>
    <row r="2423" hidden="1" x14ac:dyDescent="0.25"/>
    <row r="2424" hidden="1" x14ac:dyDescent="0.25"/>
    <row r="2425" hidden="1" x14ac:dyDescent="0.25"/>
    <row r="2426" hidden="1" x14ac:dyDescent="0.25"/>
    <row r="2427" hidden="1" x14ac:dyDescent="0.25"/>
    <row r="2428" hidden="1" x14ac:dyDescent="0.25"/>
    <row r="2429" hidden="1" x14ac:dyDescent="0.25"/>
    <row r="2430" hidden="1" x14ac:dyDescent="0.25"/>
    <row r="2431" hidden="1" x14ac:dyDescent="0.25"/>
    <row r="2432" hidden="1" x14ac:dyDescent="0.25"/>
    <row r="2433" hidden="1" x14ac:dyDescent="0.25"/>
    <row r="2434" hidden="1" x14ac:dyDescent="0.25"/>
    <row r="2435" hidden="1" x14ac:dyDescent="0.25"/>
    <row r="2436" hidden="1" x14ac:dyDescent="0.25"/>
    <row r="2437" hidden="1" x14ac:dyDescent="0.25"/>
    <row r="2438" hidden="1" x14ac:dyDescent="0.25"/>
    <row r="2439" hidden="1" x14ac:dyDescent="0.25"/>
    <row r="2440" hidden="1" x14ac:dyDescent="0.25"/>
    <row r="2441" hidden="1" x14ac:dyDescent="0.25"/>
    <row r="2442" hidden="1" x14ac:dyDescent="0.25"/>
    <row r="2443" hidden="1" x14ac:dyDescent="0.25"/>
    <row r="2444" hidden="1" x14ac:dyDescent="0.25"/>
    <row r="2445" hidden="1" x14ac:dyDescent="0.25"/>
    <row r="2446" hidden="1" x14ac:dyDescent="0.25"/>
    <row r="2447" hidden="1" x14ac:dyDescent="0.25"/>
    <row r="2448" hidden="1" x14ac:dyDescent="0.25"/>
    <row r="2449" hidden="1" x14ac:dyDescent="0.25"/>
    <row r="2450" hidden="1" x14ac:dyDescent="0.25"/>
    <row r="2451" hidden="1" x14ac:dyDescent="0.25"/>
    <row r="2452" hidden="1" x14ac:dyDescent="0.25"/>
    <row r="2453" hidden="1" x14ac:dyDescent="0.25"/>
    <row r="2454" hidden="1" x14ac:dyDescent="0.25"/>
    <row r="2455" hidden="1" x14ac:dyDescent="0.25"/>
    <row r="2456" hidden="1" x14ac:dyDescent="0.25"/>
    <row r="2457" hidden="1" x14ac:dyDescent="0.25"/>
    <row r="2458" hidden="1" x14ac:dyDescent="0.25"/>
    <row r="2459" hidden="1" x14ac:dyDescent="0.25"/>
    <row r="2460" hidden="1" x14ac:dyDescent="0.25"/>
    <row r="2461" hidden="1" x14ac:dyDescent="0.25"/>
    <row r="2462" hidden="1" x14ac:dyDescent="0.25"/>
    <row r="2463" hidden="1" x14ac:dyDescent="0.25"/>
    <row r="2464" hidden="1" x14ac:dyDescent="0.25"/>
    <row r="2465" hidden="1" x14ac:dyDescent="0.25"/>
    <row r="2466" hidden="1" x14ac:dyDescent="0.25"/>
    <row r="2467" hidden="1" x14ac:dyDescent="0.25"/>
    <row r="2468" hidden="1" x14ac:dyDescent="0.25"/>
    <row r="2469" hidden="1" x14ac:dyDescent="0.25"/>
    <row r="2470" hidden="1" x14ac:dyDescent="0.25"/>
    <row r="2471" hidden="1" x14ac:dyDescent="0.25"/>
    <row r="2472" hidden="1" x14ac:dyDescent="0.25"/>
    <row r="2473" hidden="1" x14ac:dyDescent="0.25"/>
    <row r="2474" hidden="1" x14ac:dyDescent="0.25"/>
    <row r="2475" hidden="1" x14ac:dyDescent="0.25"/>
    <row r="2476" hidden="1" x14ac:dyDescent="0.25"/>
    <row r="2477" hidden="1" x14ac:dyDescent="0.25"/>
    <row r="2478" hidden="1" x14ac:dyDescent="0.25"/>
    <row r="2479" hidden="1" x14ac:dyDescent="0.25"/>
    <row r="2480" hidden="1" x14ac:dyDescent="0.25"/>
    <row r="2481" hidden="1" x14ac:dyDescent="0.25"/>
    <row r="2482" hidden="1" x14ac:dyDescent="0.25"/>
    <row r="2483" hidden="1" x14ac:dyDescent="0.25"/>
    <row r="2484" hidden="1" x14ac:dyDescent="0.25"/>
    <row r="2485" hidden="1" x14ac:dyDescent="0.25"/>
    <row r="2486" hidden="1" x14ac:dyDescent="0.25"/>
    <row r="2487" hidden="1" x14ac:dyDescent="0.25"/>
    <row r="2488" hidden="1" x14ac:dyDescent="0.25"/>
    <row r="2489" hidden="1" x14ac:dyDescent="0.25"/>
    <row r="2490" hidden="1" x14ac:dyDescent="0.25"/>
    <row r="2491" hidden="1" x14ac:dyDescent="0.25"/>
    <row r="2492" hidden="1" x14ac:dyDescent="0.25"/>
    <row r="2493" hidden="1" x14ac:dyDescent="0.25"/>
    <row r="2494" hidden="1" x14ac:dyDescent="0.25"/>
    <row r="2495" hidden="1" x14ac:dyDescent="0.25"/>
    <row r="2496" hidden="1" x14ac:dyDescent="0.25"/>
    <row r="2497" hidden="1" x14ac:dyDescent="0.25"/>
    <row r="2498" hidden="1" x14ac:dyDescent="0.25"/>
    <row r="2499" hidden="1" x14ac:dyDescent="0.25"/>
    <row r="2500" hidden="1" x14ac:dyDescent="0.25"/>
    <row r="2501" hidden="1" x14ac:dyDescent="0.25"/>
    <row r="2502" hidden="1" x14ac:dyDescent="0.25"/>
    <row r="2503" hidden="1" x14ac:dyDescent="0.25"/>
    <row r="2504" hidden="1" x14ac:dyDescent="0.25"/>
    <row r="2505" hidden="1" x14ac:dyDescent="0.25"/>
    <row r="2506" hidden="1" x14ac:dyDescent="0.25"/>
    <row r="2507" hidden="1" x14ac:dyDescent="0.25"/>
    <row r="2508" hidden="1" x14ac:dyDescent="0.25"/>
    <row r="2509" hidden="1" x14ac:dyDescent="0.25"/>
    <row r="2510" hidden="1" x14ac:dyDescent="0.25"/>
    <row r="2511" hidden="1" x14ac:dyDescent="0.25"/>
    <row r="2512" hidden="1" x14ac:dyDescent="0.25"/>
    <row r="2513" hidden="1" x14ac:dyDescent="0.25"/>
    <row r="2514" hidden="1" x14ac:dyDescent="0.25"/>
    <row r="2515" hidden="1" x14ac:dyDescent="0.25"/>
    <row r="2516" hidden="1" x14ac:dyDescent="0.25"/>
    <row r="2517" hidden="1" x14ac:dyDescent="0.25"/>
    <row r="2518" hidden="1" x14ac:dyDescent="0.25"/>
    <row r="2519" hidden="1" x14ac:dyDescent="0.25"/>
    <row r="2520" hidden="1" x14ac:dyDescent="0.25"/>
    <row r="2521" hidden="1" x14ac:dyDescent="0.25"/>
    <row r="2522" hidden="1" x14ac:dyDescent="0.25"/>
    <row r="2523" hidden="1" x14ac:dyDescent="0.25"/>
    <row r="2524" hidden="1" x14ac:dyDescent="0.25"/>
    <row r="2525" hidden="1" x14ac:dyDescent="0.25"/>
    <row r="2526" hidden="1" x14ac:dyDescent="0.25"/>
    <row r="2527" hidden="1" x14ac:dyDescent="0.25"/>
    <row r="2528" hidden="1" x14ac:dyDescent="0.25"/>
    <row r="2529" hidden="1" x14ac:dyDescent="0.25"/>
    <row r="2530" hidden="1" x14ac:dyDescent="0.25"/>
    <row r="2531" hidden="1" x14ac:dyDescent="0.25"/>
    <row r="2532" hidden="1" x14ac:dyDescent="0.25"/>
    <row r="2533" hidden="1" x14ac:dyDescent="0.25"/>
    <row r="2534" hidden="1" x14ac:dyDescent="0.25"/>
    <row r="2535" hidden="1" x14ac:dyDescent="0.25"/>
    <row r="2536" hidden="1" x14ac:dyDescent="0.25"/>
    <row r="2537" hidden="1" x14ac:dyDescent="0.25"/>
    <row r="2538" hidden="1" x14ac:dyDescent="0.25"/>
    <row r="2539" hidden="1" x14ac:dyDescent="0.25"/>
    <row r="2540" hidden="1" x14ac:dyDescent="0.25"/>
    <row r="2541" hidden="1" x14ac:dyDescent="0.25"/>
    <row r="2542" hidden="1" x14ac:dyDescent="0.25"/>
    <row r="2543" hidden="1" x14ac:dyDescent="0.25"/>
    <row r="2544" hidden="1" x14ac:dyDescent="0.25"/>
    <row r="2545" hidden="1" x14ac:dyDescent="0.25"/>
    <row r="2546" hidden="1" x14ac:dyDescent="0.25"/>
    <row r="2547" hidden="1" x14ac:dyDescent="0.25"/>
    <row r="2548" hidden="1" x14ac:dyDescent="0.25"/>
    <row r="2549" hidden="1" x14ac:dyDescent="0.25"/>
    <row r="2550" hidden="1" x14ac:dyDescent="0.25"/>
    <row r="2551" hidden="1" x14ac:dyDescent="0.25"/>
    <row r="2552" hidden="1" x14ac:dyDescent="0.25"/>
    <row r="2553" hidden="1" x14ac:dyDescent="0.25"/>
    <row r="2554" hidden="1" x14ac:dyDescent="0.25"/>
    <row r="2555" hidden="1" x14ac:dyDescent="0.25"/>
    <row r="2556" hidden="1" x14ac:dyDescent="0.25"/>
    <row r="2557" hidden="1" x14ac:dyDescent="0.25"/>
    <row r="2558" hidden="1" x14ac:dyDescent="0.25"/>
    <row r="2559" hidden="1" x14ac:dyDescent="0.25"/>
    <row r="2560" hidden="1" x14ac:dyDescent="0.25"/>
    <row r="2561" hidden="1" x14ac:dyDescent="0.25"/>
    <row r="2562" hidden="1" x14ac:dyDescent="0.25"/>
    <row r="2563" hidden="1" x14ac:dyDescent="0.25"/>
    <row r="2564" hidden="1" x14ac:dyDescent="0.25"/>
    <row r="2565" hidden="1" x14ac:dyDescent="0.25"/>
    <row r="2566" hidden="1" x14ac:dyDescent="0.25"/>
    <row r="2567" hidden="1" x14ac:dyDescent="0.25"/>
    <row r="2568" hidden="1" x14ac:dyDescent="0.25"/>
    <row r="2569" hidden="1" x14ac:dyDescent="0.25"/>
    <row r="2570" hidden="1" x14ac:dyDescent="0.25"/>
    <row r="2571" hidden="1" x14ac:dyDescent="0.25"/>
    <row r="2572" hidden="1" x14ac:dyDescent="0.25"/>
    <row r="2573" hidden="1" x14ac:dyDescent="0.25"/>
    <row r="2574" hidden="1" x14ac:dyDescent="0.25"/>
    <row r="2575" hidden="1" x14ac:dyDescent="0.25"/>
    <row r="2576" hidden="1" x14ac:dyDescent="0.25"/>
    <row r="2577" hidden="1" x14ac:dyDescent="0.25"/>
    <row r="2578" hidden="1" x14ac:dyDescent="0.25"/>
    <row r="2579" hidden="1" x14ac:dyDescent="0.25"/>
    <row r="2580" hidden="1" x14ac:dyDescent="0.25"/>
    <row r="2581" hidden="1" x14ac:dyDescent="0.25"/>
    <row r="2582" hidden="1" x14ac:dyDescent="0.25"/>
    <row r="2583" hidden="1" x14ac:dyDescent="0.25"/>
    <row r="2584" hidden="1" x14ac:dyDescent="0.25"/>
    <row r="2585" hidden="1" x14ac:dyDescent="0.25"/>
    <row r="2586" hidden="1" x14ac:dyDescent="0.25"/>
    <row r="2587" hidden="1" x14ac:dyDescent="0.25"/>
    <row r="2588" hidden="1" x14ac:dyDescent="0.25"/>
    <row r="2589" hidden="1" x14ac:dyDescent="0.25"/>
    <row r="2590" hidden="1" x14ac:dyDescent="0.25"/>
    <row r="2591" hidden="1" x14ac:dyDescent="0.25"/>
    <row r="2592" hidden="1" x14ac:dyDescent="0.25"/>
    <row r="2593" hidden="1" x14ac:dyDescent="0.25"/>
    <row r="2594" hidden="1" x14ac:dyDescent="0.25"/>
    <row r="2595" hidden="1" x14ac:dyDescent="0.25"/>
    <row r="2596" hidden="1" x14ac:dyDescent="0.25"/>
    <row r="2597" hidden="1" x14ac:dyDescent="0.25"/>
    <row r="2598" hidden="1" x14ac:dyDescent="0.25"/>
    <row r="2599" hidden="1" x14ac:dyDescent="0.25"/>
    <row r="2600" hidden="1" x14ac:dyDescent="0.25"/>
    <row r="2601" hidden="1" x14ac:dyDescent="0.25"/>
    <row r="2602" hidden="1" x14ac:dyDescent="0.25"/>
    <row r="2603" hidden="1" x14ac:dyDescent="0.25"/>
    <row r="2604" hidden="1" x14ac:dyDescent="0.25"/>
    <row r="2605" hidden="1" x14ac:dyDescent="0.25"/>
    <row r="2606" hidden="1" x14ac:dyDescent="0.25"/>
    <row r="2607" hidden="1" x14ac:dyDescent="0.25"/>
    <row r="2608" hidden="1" x14ac:dyDescent="0.25"/>
    <row r="2609" hidden="1" x14ac:dyDescent="0.25"/>
    <row r="2610" hidden="1" x14ac:dyDescent="0.25"/>
    <row r="2611" hidden="1" x14ac:dyDescent="0.25"/>
    <row r="2612" hidden="1" x14ac:dyDescent="0.25"/>
    <row r="2613" hidden="1" x14ac:dyDescent="0.25"/>
    <row r="2614" hidden="1" x14ac:dyDescent="0.25"/>
    <row r="2615" hidden="1" x14ac:dyDescent="0.25"/>
    <row r="2616" hidden="1" x14ac:dyDescent="0.25"/>
    <row r="2617" hidden="1" x14ac:dyDescent="0.25"/>
    <row r="2618" hidden="1" x14ac:dyDescent="0.25"/>
    <row r="2619" hidden="1" x14ac:dyDescent="0.25"/>
    <row r="2620" hidden="1" x14ac:dyDescent="0.25"/>
    <row r="2621" hidden="1" x14ac:dyDescent="0.25"/>
    <row r="2622" hidden="1" x14ac:dyDescent="0.25"/>
    <row r="2623" hidden="1" x14ac:dyDescent="0.25"/>
    <row r="2624" hidden="1" x14ac:dyDescent="0.25"/>
    <row r="2625" hidden="1" x14ac:dyDescent="0.25"/>
    <row r="2626" hidden="1" x14ac:dyDescent="0.25"/>
    <row r="2627" hidden="1" x14ac:dyDescent="0.25"/>
    <row r="2628" hidden="1" x14ac:dyDescent="0.25"/>
    <row r="2629" hidden="1" x14ac:dyDescent="0.25"/>
    <row r="2630" hidden="1" x14ac:dyDescent="0.25"/>
    <row r="2631" hidden="1" x14ac:dyDescent="0.25"/>
    <row r="2632" hidden="1" x14ac:dyDescent="0.25"/>
    <row r="2633" hidden="1" x14ac:dyDescent="0.25"/>
    <row r="2634" hidden="1" x14ac:dyDescent="0.25"/>
    <row r="2635" hidden="1" x14ac:dyDescent="0.25"/>
    <row r="2636" hidden="1" x14ac:dyDescent="0.25"/>
    <row r="2637" hidden="1" x14ac:dyDescent="0.25"/>
    <row r="2638" hidden="1" x14ac:dyDescent="0.25"/>
    <row r="2639" hidden="1" x14ac:dyDescent="0.25"/>
    <row r="2640" hidden="1" x14ac:dyDescent="0.25"/>
    <row r="2641" hidden="1" x14ac:dyDescent="0.25"/>
    <row r="2642" hidden="1" x14ac:dyDescent="0.25"/>
    <row r="2643" hidden="1" x14ac:dyDescent="0.25"/>
    <row r="2644" hidden="1" x14ac:dyDescent="0.25"/>
    <row r="2645" hidden="1" x14ac:dyDescent="0.25"/>
    <row r="2646" hidden="1" x14ac:dyDescent="0.25"/>
    <row r="2647" hidden="1" x14ac:dyDescent="0.25"/>
    <row r="2648" hidden="1" x14ac:dyDescent="0.25"/>
    <row r="2649" hidden="1" x14ac:dyDescent="0.25"/>
    <row r="2650" hidden="1" x14ac:dyDescent="0.25"/>
    <row r="2651" hidden="1" x14ac:dyDescent="0.25"/>
    <row r="2652" hidden="1" x14ac:dyDescent="0.25"/>
    <row r="2653" hidden="1" x14ac:dyDescent="0.25"/>
    <row r="2654" hidden="1" x14ac:dyDescent="0.25"/>
    <row r="2655" hidden="1" x14ac:dyDescent="0.25"/>
    <row r="2656" hidden="1" x14ac:dyDescent="0.25"/>
    <row r="2657" hidden="1" x14ac:dyDescent="0.25"/>
    <row r="2658" hidden="1" x14ac:dyDescent="0.25"/>
    <row r="2659" hidden="1" x14ac:dyDescent="0.25"/>
    <row r="2660" hidden="1" x14ac:dyDescent="0.25"/>
    <row r="2661" hidden="1" x14ac:dyDescent="0.25"/>
    <row r="2662" hidden="1" x14ac:dyDescent="0.25"/>
    <row r="2663" hidden="1" x14ac:dyDescent="0.25"/>
    <row r="2664" hidden="1" x14ac:dyDescent="0.25"/>
    <row r="2665" hidden="1" x14ac:dyDescent="0.25"/>
    <row r="2666" hidden="1" x14ac:dyDescent="0.25"/>
    <row r="2667" hidden="1" x14ac:dyDescent="0.25"/>
    <row r="2668" hidden="1" x14ac:dyDescent="0.25"/>
    <row r="2669" hidden="1" x14ac:dyDescent="0.25"/>
    <row r="2670" hidden="1" x14ac:dyDescent="0.25"/>
    <row r="2671" hidden="1" x14ac:dyDescent="0.25"/>
    <row r="2672" hidden="1" x14ac:dyDescent="0.25"/>
    <row r="2673" hidden="1" x14ac:dyDescent="0.25"/>
    <row r="2674" hidden="1" x14ac:dyDescent="0.25"/>
    <row r="2675" hidden="1" x14ac:dyDescent="0.25"/>
    <row r="2676" hidden="1" x14ac:dyDescent="0.25"/>
    <row r="2677" hidden="1" x14ac:dyDescent="0.25"/>
    <row r="2678" hidden="1" x14ac:dyDescent="0.25"/>
    <row r="2679" hidden="1" x14ac:dyDescent="0.25"/>
    <row r="2680" hidden="1" x14ac:dyDescent="0.25"/>
    <row r="2681" hidden="1" x14ac:dyDescent="0.25"/>
    <row r="2682" hidden="1" x14ac:dyDescent="0.25"/>
    <row r="2683" hidden="1" x14ac:dyDescent="0.25"/>
    <row r="2684" hidden="1" x14ac:dyDescent="0.25"/>
    <row r="2685" hidden="1" x14ac:dyDescent="0.25"/>
    <row r="2686" hidden="1" x14ac:dyDescent="0.25"/>
    <row r="2687" hidden="1" x14ac:dyDescent="0.25"/>
    <row r="2688" hidden="1" x14ac:dyDescent="0.25"/>
    <row r="2689" hidden="1" x14ac:dyDescent="0.25"/>
    <row r="2690" hidden="1" x14ac:dyDescent="0.25"/>
    <row r="2691" hidden="1" x14ac:dyDescent="0.25"/>
    <row r="2692" hidden="1" x14ac:dyDescent="0.25"/>
    <row r="2693" hidden="1" x14ac:dyDescent="0.25"/>
    <row r="2694" hidden="1" x14ac:dyDescent="0.25"/>
    <row r="2695" hidden="1" x14ac:dyDescent="0.25"/>
    <row r="2696" hidden="1" x14ac:dyDescent="0.25"/>
    <row r="2697" hidden="1" x14ac:dyDescent="0.25"/>
    <row r="2698" hidden="1" x14ac:dyDescent="0.25"/>
    <row r="2699" hidden="1" x14ac:dyDescent="0.25"/>
    <row r="2700" hidden="1" x14ac:dyDescent="0.25"/>
    <row r="2701" hidden="1" x14ac:dyDescent="0.25"/>
    <row r="2702" hidden="1" x14ac:dyDescent="0.25"/>
    <row r="2703" hidden="1" x14ac:dyDescent="0.25"/>
    <row r="2704" hidden="1" x14ac:dyDescent="0.25"/>
    <row r="2705" hidden="1" x14ac:dyDescent="0.25"/>
    <row r="2706" hidden="1" x14ac:dyDescent="0.25"/>
    <row r="2707" hidden="1" x14ac:dyDescent="0.25"/>
    <row r="2708" hidden="1" x14ac:dyDescent="0.25"/>
    <row r="2709" hidden="1" x14ac:dyDescent="0.25"/>
    <row r="2710" hidden="1" x14ac:dyDescent="0.25"/>
    <row r="2711" hidden="1" x14ac:dyDescent="0.25"/>
    <row r="2712" hidden="1" x14ac:dyDescent="0.25"/>
    <row r="2713" hidden="1" x14ac:dyDescent="0.25"/>
    <row r="2714" hidden="1" x14ac:dyDescent="0.25"/>
    <row r="2715" hidden="1" x14ac:dyDescent="0.25"/>
    <row r="2716" hidden="1" x14ac:dyDescent="0.25"/>
    <row r="2717" hidden="1" x14ac:dyDescent="0.25"/>
    <row r="2718" hidden="1" x14ac:dyDescent="0.25"/>
    <row r="2719" hidden="1" x14ac:dyDescent="0.25"/>
    <row r="2720" hidden="1" x14ac:dyDescent="0.25"/>
    <row r="2721" hidden="1" x14ac:dyDescent="0.25"/>
    <row r="2722" hidden="1" x14ac:dyDescent="0.25"/>
    <row r="2723" hidden="1" x14ac:dyDescent="0.25"/>
    <row r="2724" hidden="1" x14ac:dyDescent="0.25"/>
    <row r="2725" hidden="1" x14ac:dyDescent="0.25"/>
    <row r="2726" hidden="1" x14ac:dyDescent="0.25"/>
    <row r="2727" hidden="1" x14ac:dyDescent="0.25"/>
    <row r="2728" hidden="1" x14ac:dyDescent="0.25"/>
    <row r="2729" hidden="1" x14ac:dyDescent="0.25"/>
    <row r="2730" hidden="1" x14ac:dyDescent="0.25"/>
    <row r="2731" hidden="1" x14ac:dyDescent="0.25"/>
    <row r="2732" hidden="1" x14ac:dyDescent="0.25"/>
    <row r="2733" hidden="1" x14ac:dyDescent="0.25"/>
    <row r="2734" hidden="1" x14ac:dyDescent="0.25"/>
    <row r="2735" hidden="1" x14ac:dyDescent="0.25"/>
    <row r="2736" hidden="1" x14ac:dyDescent="0.25"/>
    <row r="2737" hidden="1" x14ac:dyDescent="0.25"/>
    <row r="2738" hidden="1" x14ac:dyDescent="0.25"/>
    <row r="2739" hidden="1" x14ac:dyDescent="0.25"/>
    <row r="2740" hidden="1" x14ac:dyDescent="0.25"/>
    <row r="2741" hidden="1" x14ac:dyDescent="0.25"/>
    <row r="2742" hidden="1" x14ac:dyDescent="0.25"/>
    <row r="2743" hidden="1" x14ac:dyDescent="0.25"/>
    <row r="2744" hidden="1" x14ac:dyDescent="0.25"/>
    <row r="2745" hidden="1" x14ac:dyDescent="0.25"/>
    <row r="2746" hidden="1" x14ac:dyDescent="0.25"/>
    <row r="2747" hidden="1" x14ac:dyDescent="0.25"/>
    <row r="2748" hidden="1" x14ac:dyDescent="0.25"/>
    <row r="2749" hidden="1" x14ac:dyDescent="0.25"/>
    <row r="2750" hidden="1" x14ac:dyDescent="0.25"/>
    <row r="2751" hidden="1" x14ac:dyDescent="0.25"/>
    <row r="2752" hidden="1" x14ac:dyDescent="0.25"/>
    <row r="2753" hidden="1" x14ac:dyDescent="0.25"/>
    <row r="2754" hidden="1" x14ac:dyDescent="0.25"/>
    <row r="2755" hidden="1" x14ac:dyDescent="0.25"/>
    <row r="2756" hidden="1" x14ac:dyDescent="0.25"/>
    <row r="2757" hidden="1" x14ac:dyDescent="0.25"/>
    <row r="2758" hidden="1" x14ac:dyDescent="0.25"/>
    <row r="2759" hidden="1" x14ac:dyDescent="0.25"/>
    <row r="2760" hidden="1" x14ac:dyDescent="0.25"/>
    <row r="2761" hidden="1" x14ac:dyDescent="0.25"/>
    <row r="2762" hidden="1" x14ac:dyDescent="0.25"/>
    <row r="2763" hidden="1" x14ac:dyDescent="0.25"/>
    <row r="2764" hidden="1" x14ac:dyDescent="0.25"/>
    <row r="2765" hidden="1" x14ac:dyDescent="0.25"/>
    <row r="2766" hidden="1" x14ac:dyDescent="0.25"/>
    <row r="2767" hidden="1" x14ac:dyDescent="0.25"/>
    <row r="2768" hidden="1" x14ac:dyDescent="0.25"/>
    <row r="2769" hidden="1" x14ac:dyDescent="0.25"/>
    <row r="2770" hidden="1" x14ac:dyDescent="0.25"/>
    <row r="2771" hidden="1" x14ac:dyDescent="0.25"/>
    <row r="2772" hidden="1" x14ac:dyDescent="0.25"/>
    <row r="2773" hidden="1" x14ac:dyDescent="0.25"/>
    <row r="2774" hidden="1" x14ac:dyDescent="0.25"/>
    <row r="2775" hidden="1" x14ac:dyDescent="0.25"/>
    <row r="2776" hidden="1" x14ac:dyDescent="0.25"/>
    <row r="2777" hidden="1" x14ac:dyDescent="0.25"/>
    <row r="2778" hidden="1" x14ac:dyDescent="0.25"/>
    <row r="2779" hidden="1" x14ac:dyDescent="0.25"/>
    <row r="2780" hidden="1" x14ac:dyDescent="0.25"/>
    <row r="2781" hidden="1" x14ac:dyDescent="0.25"/>
    <row r="2782" hidden="1" x14ac:dyDescent="0.25"/>
    <row r="2783" hidden="1" x14ac:dyDescent="0.25"/>
    <row r="2784" hidden="1" x14ac:dyDescent="0.25"/>
    <row r="2785" hidden="1" x14ac:dyDescent="0.25"/>
    <row r="2786" hidden="1" x14ac:dyDescent="0.25"/>
    <row r="2787" hidden="1" x14ac:dyDescent="0.25"/>
    <row r="2788" hidden="1" x14ac:dyDescent="0.25"/>
    <row r="2789" hidden="1" x14ac:dyDescent="0.25"/>
    <row r="2790" hidden="1" x14ac:dyDescent="0.25"/>
    <row r="2791" hidden="1" x14ac:dyDescent="0.25"/>
    <row r="2792" hidden="1" x14ac:dyDescent="0.25"/>
    <row r="2793" hidden="1" x14ac:dyDescent="0.25"/>
    <row r="2794" hidden="1" x14ac:dyDescent="0.25"/>
    <row r="2795" hidden="1" x14ac:dyDescent="0.25"/>
    <row r="2796" hidden="1" x14ac:dyDescent="0.25"/>
    <row r="2797" hidden="1" x14ac:dyDescent="0.25"/>
    <row r="2798" hidden="1" x14ac:dyDescent="0.25"/>
    <row r="2799" hidden="1" x14ac:dyDescent="0.25"/>
    <row r="2800" hidden="1" x14ac:dyDescent="0.25"/>
    <row r="2801" hidden="1" x14ac:dyDescent="0.25"/>
    <row r="2802" hidden="1" x14ac:dyDescent="0.25"/>
    <row r="2803" hidden="1" x14ac:dyDescent="0.25"/>
    <row r="2804" hidden="1" x14ac:dyDescent="0.25"/>
    <row r="2805" hidden="1" x14ac:dyDescent="0.25"/>
    <row r="2806" hidden="1" x14ac:dyDescent="0.25"/>
    <row r="2807" hidden="1" x14ac:dyDescent="0.25"/>
    <row r="2808" hidden="1" x14ac:dyDescent="0.25"/>
    <row r="2809" hidden="1" x14ac:dyDescent="0.25"/>
    <row r="2810" hidden="1" x14ac:dyDescent="0.25"/>
    <row r="2811" hidden="1" x14ac:dyDescent="0.25"/>
    <row r="2812" hidden="1" x14ac:dyDescent="0.25"/>
    <row r="2813" hidden="1" x14ac:dyDescent="0.25"/>
    <row r="2814" hidden="1" x14ac:dyDescent="0.25"/>
    <row r="2815" hidden="1" x14ac:dyDescent="0.25"/>
    <row r="2816" hidden="1" x14ac:dyDescent="0.25"/>
    <row r="2817" hidden="1" x14ac:dyDescent="0.25"/>
    <row r="2818" hidden="1" x14ac:dyDescent="0.25"/>
    <row r="2819" hidden="1" x14ac:dyDescent="0.25"/>
    <row r="2820" hidden="1" x14ac:dyDescent="0.25"/>
    <row r="2821" hidden="1" x14ac:dyDescent="0.25"/>
    <row r="2822" hidden="1" x14ac:dyDescent="0.25"/>
    <row r="2823" hidden="1" x14ac:dyDescent="0.25"/>
    <row r="2824" hidden="1" x14ac:dyDescent="0.25"/>
    <row r="2825" hidden="1" x14ac:dyDescent="0.25"/>
    <row r="2826" hidden="1" x14ac:dyDescent="0.25"/>
    <row r="2827" hidden="1" x14ac:dyDescent="0.25"/>
    <row r="2828" hidden="1" x14ac:dyDescent="0.25"/>
    <row r="2829" hidden="1" x14ac:dyDescent="0.25"/>
    <row r="2830" hidden="1" x14ac:dyDescent="0.25"/>
    <row r="2831" hidden="1" x14ac:dyDescent="0.25"/>
    <row r="2832" hidden="1" x14ac:dyDescent="0.25"/>
    <row r="2833" hidden="1" x14ac:dyDescent="0.25"/>
    <row r="2834" hidden="1" x14ac:dyDescent="0.25"/>
    <row r="2835" hidden="1" x14ac:dyDescent="0.25"/>
    <row r="2836" hidden="1" x14ac:dyDescent="0.25"/>
    <row r="2837" hidden="1" x14ac:dyDescent="0.25"/>
    <row r="2838" hidden="1" x14ac:dyDescent="0.25"/>
    <row r="2839" hidden="1" x14ac:dyDescent="0.25"/>
    <row r="2840" hidden="1" x14ac:dyDescent="0.25"/>
    <row r="2841" hidden="1" x14ac:dyDescent="0.25"/>
    <row r="2842" hidden="1" x14ac:dyDescent="0.25"/>
    <row r="2843" hidden="1" x14ac:dyDescent="0.25"/>
    <row r="2844" hidden="1" x14ac:dyDescent="0.25"/>
    <row r="2845" hidden="1" x14ac:dyDescent="0.25"/>
    <row r="2846" hidden="1" x14ac:dyDescent="0.25"/>
    <row r="2847" hidden="1" x14ac:dyDescent="0.25"/>
    <row r="2848" hidden="1" x14ac:dyDescent="0.25"/>
    <row r="2849" hidden="1" x14ac:dyDescent="0.25"/>
    <row r="2850" hidden="1" x14ac:dyDescent="0.25"/>
    <row r="2851" hidden="1" x14ac:dyDescent="0.25"/>
    <row r="2852" hidden="1" x14ac:dyDescent="0.25"/>
    <row r="2853" hidden="1" x14ac:dyDescent="0.25"/>
    <row r="2854" hidden="1" x14ac:dyDescent="0.25"/>
    <row r="2855" hidden="1" x14ac:dyDescent="0.25"/>
    <row r="2856" hidden="1" x14ac:dyDescent="0.25"/>
    <row r="2857" hidden="1" x14ac:dyDescent="0.25"/>
    <row r="2858" hidden="1" x14ac:dyDescent="0.25"/>
    <row r="2859" hidden="1" x14ac:dyDescent="0.25"/>
    <row r="2860" hidden="1" x14ac:dyDescent="0.25"/>
    <row r="2861" hidden="1" x14ac:dyDescent="0.25"/>
    <row r="2862" hidden="1" x14ac:dyDescent="0.25"/>
    <row r="2863" hidden="1" x14ac:dyDescent="0.25"/>
    <row r="2864" hidden="1" x14ac:dyDescent="0.25"/>
    <row r="2865" hidden="1" x14ac:dyDescent="0.25"/>
    <row r="2866" hidden="1" x14ac:dyDescent="0.25"/>
    <row r="2867" hidden="1" x14ac:dyDescent="0.25"/>
    <row r="2868" hidden="1" x14ac:dyDescent="0.25"/>
    <row r="2869" hidden="1" x14ac:dyDescent="0.25"/>
    <row r="2870" hidden="1" x14ac:dyDescent="0.25"/>
    <row r="2871" hidden="1" x14ac:dyDescent="0.25"/>
    <row r="2872" hidden="1" x14ac:dyDescent="0.25"/>
    <row r="2873" hidden="1" x14ac:dyDescent="0.25"/>
    <row r="2874" hidden="1" x14ac:dyDescent="0.25"/>
    <row r="2875" hidden="1" x14ac:dyDescent="0.25"/>
    <row r="2876" hidden="1" x14ac:dyDescent="0.25"/>
    <row r="2877" hidden="1" x14ac:dyDescent="0.25"/>
    <row r="2878" hidden="1" x14ac:dyDescent="0.25"/>
    <row r="2879" hidden="1" x14ac:dyDescent="0.25"/>
    <row r="2880" hidden="1" x14ac:dyDescent="0.25"/>
    <row r="2881" hidden="1" x14ac:dyDescent="0.25"/>
    <row r="2882" hidden="1" x14ac:dyDescent="0.25"/>
    <row r="2883" hidden="1" x14ac:dyDescent="0.25"/>
    <row r="2884" hidden="1" x14ac:dyDescent="0.25"/>
    <row r="2885" hidden="1" x14ac:dyDescent="0.25"/>
    <row r="2886" hidden="1" x14ac:dyDescent="0.25"/>
    <row r="2887" hidden="1" x14ac:dyDescent="0.25"/>
    <row r="2888" hidden="1" x14ac:dyDescent="0.25"/>
    <row r="2889" hidden="1" x14ac:dyDescent="0.25"/>
    <row r="2890" hidden="1" x14ac:dyDescent="0.25"/>
    <row r="2891" hidden="1" x14ac:dyDescent="0.25"/>
    <row r="2892" hidden="1" x14ac:dyDescent="0.25"/>
    <row r="2893" hidden="1" x14ac:dyDescent="0.25"/>
    <row r="2894" hidden="1" x14ac:dyDescent="0.25"/>
    <row r="2895" hidden="1" x14ac:dyDescent="0.25"/>
    <row r="2896" hidden="1" x14ac:dyDescent="0.25"/>
    <row r="2897" hidden="1" x14ac:dyDescent="0.25"/>
    <row r="2898" hidden="1" x14ac:dyDescent="0.25"/>
    <row r="2899" hidden="1" x14ac:dyDescent="0.25"/>
    <row r="2900" hidden="1" x14ac:dyDescent="0.25"/>
    <row r="2901" hidden="1" x14ac:dyDescent="0.25"/>
    <row r="2902" hidden="1" x14ac:dyDescent="0.25"/>
    <row r="2903" hidden="1" x14ac:dyDescent="0.25"/>
    <row r="2904" hidden="1" x14ac:dyDescent="0.25"/>
    <row r="2905" hidden="1" x14ac:dyDescent="0.25"/>
    <row r="2906" hidden="1" x14ac:dyDescent="0.25"/>
    <row r="2907" hidden="1" x14ac:dyDescent="0.25"/>
    <row r="2908" hidden="1" x14ac:dyDescent="0.25"/>
    <row r="2909" hidden="1" x14ac:dyDescent="0.25"/>
    <row r="2910" hidden="1" x14ac:dyDescent="0.25"/>
    <row r="2911" hidden="1" x14ac:dyDescent="0.25"/>
    <row r="2912" hidden="1" x14ac:dyDescent="0.25"/>
    <row r="2913" hidden="1" x14ac:dyDescent="0.25"/>
    <row r="2914" hidden="1" x14ac:dyDescent="0.25"/>
    <row r="2915" hidden="1" x14ac:dyDescent="0.25"/>
    <row r="2916" hidden="1" x14ac:dyDescent="0.25"/>
    <row r="2917" hidden="1" x14ac:dyDescent="0.25"/>
    <row r="2918" hidden="1" x14ac:dyDescent="0.25"/>
    <row r="2919" hidden="1" x14ac:dyDescent="0.25"/>
    <row r="2920" hidden="1" x14ac:dyDescent="0.25"/>
    <row r="2921" hidden="1" x14ac:dyDescent="0.25"/>
    <row r="2922" hidden="1" x14ac:dyDescent="0.25"/>
    <row r="2923" hidden="1" x14ac:dyDescent="0.25"/>
    <row r="2924" hidden="1" x14ac:dyDescent="0.25"/>
    <row r="2925" hidden="1" x14ac:dyDescent="0.25"/>
    <row r="2926" hidden="1" x14ac:dyDescent="0.25"/>
    <row r="2927" hidden="1" x14ac:dyDescent="0.25"/>
    <row r="2928" hidden="1" x14ac:dyDescent="0.25"/>
    <row r="2929" hidden="1" x14ac:dyDescent="0.25"/>
    <row r="2930" hidden="1" x14ac:dyDescent="0.25"/>
    <row r="2931" hidden="1" x14ac:dyDescent="0.25"/>
    <row r="2932" hidden="1" x14ac:dyDescent="0.25"/>
    <row r="2933" hidden="1" x14ac:dyDescent="0.25"/>
    <row r="2934" hidden="1" x14ac:dyDescent="0.25"/>
    <row r="2935" hidden="1" x14ac:dyDescent="0.25"/>
    <row r="2936" hidden="1" x14ac:dyDescent="0.25"/>
    <row r="2937" hidden="1" x14ac:dyDescent="0.25"/>
    <row r="2938" hidden="1" x14ac:dyDescent="0.25"/>
    <row r="2939" hidden="1" x14ac:dyDescent="0.25"/>
    <row r="2940" hidden="1" x14ac:dyDescent="0.25"/>
    <row r="2941" hidden="1" x14ac:dyDescent="0.25"/>
    <row r="2942" hidden="1" x14ac:dyDescent="0.25"/>
    <row r="2943" hidden="1" x14ac:dyDescent="0.25"/>
    <row r="2944" hidden="1" x14ac:dyDescent="0.25"/>
    <row r="2945" hidden="1" x14ac:dyDescent="0.25"/>
    <row r="2946" hidden="1" x14ac:dyDescent="0.25"/>
    <row r="2947" hidden="1" x14ac:dyDescent="0.25"/>
    <row r="2948" hidden="1" x14ac:dyDescent="0.25"/>
    <row r="2949" hidden="1" x14ac:dyDescent="0.25"/>
    <row r="2950" hidden="1" x14ac:dyDescent="0.25"/>
    <row r="2951" hidden="1" x14ac:dyDescent="0.25"/>
    <row r="2952" hidden="1" x14ac:dyDescent="0.25"/>
    <row r="2953" hidden="1" x14ac:dyDescent="0.25"/>
    <row r="2954" hidden="1" x14ac:dyDescent="0.25"/>
    <row r="2955" hidden="1" x14ac:dyDescent="0.25"/>
    <row r="2956" hidden="1" x14ac:dyDescent="0.25"/>
    <row r="2957" hidden="1" x14ac:dyDescent="0.25"/>
    <row r="2958" hidden="1" x14ac:dyDescent="0.25"/>
    <row r="2959" hidden="1" x14ac:dyDescent="0.25"/>
    <row r="2960" hidden="1" x14ac:dyDescent="0.25"/>
    <row r="2961" hidden="1" x14ac:dyDescent="0.25"/>
    <row r="2962" hidden="1" x14ac:dyDescent="0.25"/>
    <row r="2963" hidden="1" x14ac:dyDescent="0.25"/>
    <row r="2964" hidden="1" x14ac:dyDescent="0.25"/>
    <row r="2965" hidden="1" x14ac:dyDescent="0.25"/>
    <row r="2966" hidden="1" x14ac:dyDescent="0.25"/>
    <row r="2967" hidden="1" x14ac:dyDescent="0.25"/>
    <row r="2968" hidden="1" x14ac:dyDescent="0.25"/>
    <row r="2969" hidden="1" x14ac:dyDescent="0.25"/>
    <row r="2970" hidden="1" x14ac:dyDescent="0.25"/>
    <row r="2971" hidden="1" x14ac:dyDescent="0.25"/>
    <row r="2972" hidden="1" x14ac:dyDescent="0.25"/>
    <row r="2973" hidden="1" x14ac:dyDescent="0.25"/>
    <row r="2974" hidden="1" x14ac:dyDescent="0.25"/>
    <row r="2975" hidden="1" x14ac:dyDescent="0.25"/>
    <row r="2976" hidden="1" x14ac:dyDescent="0.25"/>
    <row r="2977" hidden="1" x14ac:dyDescent="0.25"/>
    <row r="2978" hidden="1" x14ac:dyDescent="0.25"/>
    <row r="2979" hidden="1" x14ac:dyDescent="0.25"/>
    <row r="2980" hidden="1" x14ac:dyDescent="0.25"/>
    <row r="2981" hidden="1" x14ac:dyDescent="0.25"/>
    <row r="2982" hidden="1" x14ac:dyDescent="0.25"/>
    <row r="2984" ht="48.75" customHeight="1" x14ac:dyDescent="0.25"/>
    <row r="2985" ht="29.25" customHeight="1" x14ac:dyDescent="0.25"/>
  </sheetData>
  <sheetProtection insertColumns="0" deleteColumns="0" sort="0" pivotTables="0"/>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5C27DB-564B-49B2-8E88-E30714FEAE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Customers</vt:lpstr>
      <vt:lpstr>Products</vt:lpstr>
      <vt:lpstr>Orders</vt:lpstr>
      <vt:lpstr>Key_Metrics</vt:lpstr>
      <vt:lpstr>Calculations</vt:lpstr>
      <vt:lpstr>Dashboard</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c73483</dc:creator>
  <cp:lastModifiedBy>c73483</cp:lastModifiedBy>
  <dcterms:created xsi:type="dcterms:W3CDTF">2026-01-11T17:21:17Z</dcterms:created>
  <dcterms:modified xsi:type="dcterms:W3CDTF">2026-02-11T18:49:20Z</dcterms:modified>
</cp:coreProperties>
</file>